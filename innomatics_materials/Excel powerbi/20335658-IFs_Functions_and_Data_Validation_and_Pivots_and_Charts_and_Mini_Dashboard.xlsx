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4.xml" ContentType="application/vnd.openxmlformats-officedocument.spreadsheetml.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894DA4A5-19C9-4B9A-AABB-A0D9F0848E60}" xr6:coauthVersionLast="47" xr6:coauthVersionMax="47" xr10:uidLastSave="{00000000-0000-0000-0000-000000000000}"/>
  <bookViews>
    <workbookView xWindow="-108" yWindow="-108" windowWidth="23256" windowHeight="12456" firstSheet="6" activeTab="10" xr2:uid="{A06563B2-D6E9-492B-9144-855B4CB54C0A}"/>
  </bookViews>
  <sheets>
    <sheet name="My Students" sheetId="1" r:id="rId1"/>
    <sheet name="Sheet8" sheetId="9" r:id="rId2"/>
    <sheet name="Sheet2" sheetId="2" r:id="rId3"/>
    <sheet name="Order details" sheetId="3" r:id="rId4"/>
    <sheet name="Data validation " sheetId="10" r:id="rId5"/>
    <sheet name="Customer details" sheetId="4" r:id="rId6"/>
    <sheet name="Sheet4" sheetId="5" r:id="rId7"/>
    <sheet name="Sheet5" sheetId="6" r:id="rId8"/>
    <sheet name="Sheet11" sheetId="12" r:id="rId9"/>
    <sheet name="Pivot Tables" sheetId="14" r:id="rId10"/>
    <sheet name="Charts" sheetId="17" r:id="rId11"/>
    <sheet name="Dashboard" sheetId="16" r:id="rId12"/>
    <sheet name="Sales Data" sheetId="7" r:id="rId13"/>
    <sheet name="Charts Data" sheetId="8" r:id="rId14"/>
  </sheets>
  <definedNames>
    <definedName name="NativeTimeline_Order_Date">#N/A</definedName>
    <definedName name="Slicer_Category">#N/A</definedName>
    <definedName name="Slicer_Category1">#N/A</definedName>
    <definedName name="Slicer_Months__Order_Date">#N/A</definedName>
    <definedName name="Slicer_Product">#N/A</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6" l="1"/>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C21" i="9"/>
  <c r="C20" i="9"/>
  <c r="C19" i="9"/>
  <c r="C18" i="9"/>
  <c r="C17" i="9"/>
  <c r="C16" i="9"/>
  <c r="C15" i="9"/>
  <c r="C14" i="9"/>
  <c r="C13" i="9"/>
  <c r="C12" i="9"/>
  <c r="C11" i="9"/>
  <c r="C10" i="9"/>
  <c r="C9" i="9"/>
  <c r="C8" i="9"/>
  <c r="C7" i="9"/>
  <c r="C6" i="9"/>
  <c r="C5" i="9"/>
  <c r="C4" i="9"/>
  <c r="C3" i="9"/>
  <c r="C2" i="9"/>
  <c r="K15" i="3"/>
  <c r="K16" i="3"/>
  <c r="K17" i="3"/>
  <c r="K18" i="3"/>
  <c r="K14" i="3"/>
  <c r="J20" i="3"/>
  <c r="J15" i="3"/>
  <c r="J16" i="3"/>
  <c r="J17" i="3"/>
  <c r="J18" i="3"/>
  <c r="J14" i="3"/>
  <c r="E4" i="3"/>
  <c r="E5" i="3"/>
  <c r="E6" i="3"/>
  <c r="E7" i="3"/>
  <c r="M3" i="3"/>
  <c r="F4" i="3"/>
  <c r="F5" i="3"/>
  <c r="F6" i="3"/>
  <c r="F7" i="3"/>
  <c r="F8" i="3"/>
  <c r="F9" i="3"/>
  <c r="F3" i="3"/>
  <c r="E8" i="3"/>
  <c r="E9" i="3"/>
  <c r="E3" i="3"/>
  <c r="N4" i="3"/>
  <c r="N5" i="3"/>
  <c r="N6" i="3"/>
  <c r="N7" i="3"/>
  <c r="N8" i="3"/>
  <c r="N9" i="3"/>
  <c r="N3" i="3"/>
  <c r="M4" i="3"/>
  <c r="M5" i="3"/>
  <c r="M6" i="3"/>
  <c r="M7" i="3"/>
  <c r="M8" i="3"/>
  <c r="M9" i="3"/>
  <c r="C2" i="1"/>
  <c r="C3" i="1"/>
  <c r="C4" i="1"/>
  <c r="C5" i="1"/>
  <c r="C6" i="1"/>
  <c r="C7" i="1"/>
  <c r="C8" i="1"/>
  <c r="C9" i="1"/>
  <c r="C10" i="1"/>
  <c r="C11" i="1"/>
  <c r="C12" i="1"/>
  <c r="C13" i="1"/>
  <c r="C14" i="1"/>
  <c r="C15" i="1"/>
  <c r="C16" i="1"/>
  <c r="C17" i="1"/>
  <c r="C18" i="1"/>
  <c r="C19" i="1"/>
  <c r="C20" i="1"/>
  <c r="C21" i="1"/>
  <c r="Q17" i="2" l="1"/>
  <c r="Q14" i="2"/>
  <c r="Q9" i="2"/>
  <c r="Q6" i="2"/>
  <c r="L25" i="2"/>
  <c r="L24" i="2"/>
  <c r="L23" i="2"/>
  <c r="L22" i="2"/>
  <c r="L21" i="2"/>
  <c r="L20" i="2"/>
  <c r="L19" i="2"/>
  <c r="L18" i="2"/>
  <c r="L17" i="2"/>
  <c r="L16" i="2"/>
  <c r="L15" i="2"/>
  <c r="L14" i="2"/>
  <c r="L13" i="2"/>
  <c r="L12" i="2"/>
  <c r="L11" i="2"/>
  <c r="L10" i="2"/>
  <c r="L9" i="2"/>
  <c r="L8" i="2"/>
  <c r="L7" i="2"/>
  <c r="L6" i="2"/>
  <c r="C2" i="2"/>
  <c r="C3" i="2"/>
  <c r="C4" i="2"/>
  <c r="C5" i="2"/>
  <c r="C6" i="2"/>
  <c r="C7" i="2"/>
  <c r="C8" i="2"/>
  <c r="C9" i="2"/>
  <c r="C10" i="2"/>
  <c r="C11" i="2"/>
  <c r="C12" i="2"/>
  <c r="C13" i="2"/>
  <c r="C14" i="2"/>
  <c r="C15" i="2"/>
  <c r="C16" i="2"/>
  <c r="C17" i="2"/>
  <c r="C18" i="2"/>
  <c r="C19" i="2"/>
  <c r="C20" i="2"/>
  <c r="C21" i="2"/>
  <c r="H3" i="2" l="1"/>
  <c r="H4" i="2"/>
  <c r="H5" i="2"/>
  <c r="H6" i="2"/>
  <c r="H7" i="2"/>
  <c r="H8" i="2"/>
  <c r="H9" i="2"/>
  <c r="H10" i="2"/>
  <c r="H11" i="2"/>
  <c r="H12" i="2"/>
  <c r="H13" i="2"/>
  <c r="H14" i="2"/>
  <c r="H15" i="2"/>
  <c r="H16" i="2"/>
  <c r="H17" i="2"/>
  <c r="H18" i="2"/>
  <c r="H19" i="2"/>
  <c r="H20" i="2"/>
  <c r="H21" i="2"/>
  <c r="H2" i="2"/>
  <c r="L2" i="1"/>
  <c r="L3" i="1"/>
  <c r="L4" i="1"/>
  <c r="L5" i="1"/>
  <c r="L6" i="1"/>
  <c r="L7" i="1"/>
  <c r="L8" i="1"/>
  <c r="L9" i="1"/>
  <c r="L10" i="1"/>
  <c r="L11" i="1"/>
  <c r="L12" i="1"/>
  <c r="L13" i="1"/>
  <c r="L14" i="1"/>
  <c r="L15" i="1"/>
  <c r="L16" i="1"/>
  <c r="L17" i="1"/>
  <c r="L18" i="1"/>
  <c r="L19" i="1"/>
  <c r="L20" i="1"/>
  <c r="L21" i="1"/>
  <c r="I3" i="1"/>
  <c r="J4" i="1"/>
  <c r="K5" i="1"/>
  <c r="I6" i="1"/>
  <c r="J7" i="1"/>
  <c r="J8" i="1"/>
  <c r="J9" i="1"/>
  <c r="K10" i="1"/>
  <c r="I11" i="1"/>
  <c r="H12" i="1"/>
  <c r="K13" i="1"/>
  <c r="I14" i="1"/>
  <c r="J15" i="1"/>
  <c r="J16" i="1"/>
  <c r="J17" i="1"/>
  <c r="K18" i="1"/>
  <c r="I19" i="1"/>
  <c r="J20" i="1"/>
  <c r="K21" i="1"/>
  <c r="K2" i="1"/>
  <c r="K17" i="1" l="1"/>
  <c r="K16" i="1"/>
  <c r="K15" i="1"/>
  <c r="K11" i="1"/>
  <c r="K9" i="1"/>
  <c r="K8" i="1"/>
  <c r="K19" i="1"/>
  <c r="K3" i="1"/>
  <c r="K7" i="1"/>
  <c r="H4" i="1"/>
  <c r="K14" i="1"/>
  <c r="K6" i="1"/>
  <c r="K20" i="1"/>
  <c r="K12" i="1"/>
  <c r="K4" i="1"/>
  <c r="H3" i="1"/>
  <c r="J19" i="1"/>
  <c r="H20" i="1"/>
  <c r="J12" i="1"/>
  <c r="H19" i="1"/>
  <c r="J11" i="1"/>
  <c r="H11" i="1"/>
  <c r="J3" i="1"/>
  <c r="H2" i="1"/>
  <c r="H14" i="1"/>
  <c r="H6" i="1"/>
  <c r="I18" i="1"/>
  <c r="I10" i="1"/>
  <c r="J2" i="1"/>
  <c r="J14" i="1"/>
  <c r="J6" i="1"/>
  <c r="I8" i="1"/>
  <c r="I15" i="1"/>
  <c r="I7" i="1"/>
  <c r="H21" i="1"/>
  <c r="H13" i="1"/>
  <c r="H5" i="1"/>
  <c r="I17" i="1"/>
  <c r="I9" i="1"/>
  <c r="J21" i="1"/>
  <c r="J13" i="1"/>
  <c r="J5" i="1"/>
  <c r="I16" i="1"/>
  <c r="H18" i="1"/>
  <c r="H10" i="1"/>
  <c r="I2" i="1"/>
  <c r="J18" i="1"/>
  <c r="J10" i="1"/>
  <c r="H17" i="1"/>
  <c r="H9" i="1"/>
  <c r="I21" i="1"/>
  <c r="I13" i="1"/>
  <c r="I5" i="1"/>
  <c r="H16" i="1"/>
  <c r="H8" i="1"/>
  <c r="I20" i="1"/>
  <c r="I12" i="1"/>
  <c r="I4" i="1"/>
  <c r="H15" i="1"/>
  <c r="H7" i="1"/>
</calcChain>
</file>

<file path=xl/sharedStrings.xml><?xml version="1.0" encoding="utf-8"?>
<sst xmlns="http://schemas.openxmlformats.org/spreadsheetml/2006/main" count="1440" uniqueCount="198">
  <si>
    <t>Date</t>
  </si>
  <si>
    <t>Chandana Peddapelly</t>
  </si>
  <si>
    <t>Dinesh Kumar Bolla</t>
  </si>
  <si>
    <t>J Sujay</t>
  </si>
  <si>
    <t>Karrola Nagaraju</t>
  </si>
  <si>
    <t>Lalam Satyanarayana</t>
  </si>
  <si>
    <t>Samiksha Moharana</t>
  </si>
  <si>
    <t>Shivaprathap Singiri</t>
  </si>
  <si>
    <t>Shriya Mechineni</t>
  </si>
  <si>
    <t>Siri Mandadapu</t>
  </si>
  <si>
    <t>SLVSNTejaswi-kota</t>
  </si>
  <si>
    <t>suma sri priya</t>
  </si>
  <si>
    <t>Thejaswini Padurthi</t>
  </si>
  <si>
    <t>Name</t>
  </si>
  <si>
    <t>USA</t>
  </si>
  <si>
    <t>Australia</t>
  </si>
  <si>
    <t>UK</t>
  </si>
  <si>
    <t>Canada</t>
  </si>
  <si>
    <t>Germany</t>
  </si>
  <si>
    <t>A</t>
  </si>
  <si>
    <t>B</t>
  </si>
  <si>
    <t>C</t>
  </si>
  <si>
    <t>Region</t>
  </si>
  <si>
    <t>Product</t>
  </si>
  <si>
    <t>Sales</t>
  </si>
  <si>
    <t xml:space="preserve">   AKSHAY SUNKARI</t>
  </si>
  <si>
    <t xml:space="preserve">Anvesh Hirve  </t>
  </si>
  <si>
    <t xml:space="preserve">  ATLURI CHARITHA SRI</t>
  </si>
  <si>
    <t xml:space="preserve">   B Ramakrishna</t>
  </si>
  <si>
    <t xml:space="preserve">Bhavana Koneti  </t>
  </si>
  <si>
    <t xml:space="preserve">	Brijesh Mali   </t>
  </si>
  <si>
    <t xml:space="preserve">   Naveen Shivakoti</t>
  </si>
  <si>
    <t xml:space="preserve">   rudra premkumar</t>
  </si>
  <si>
    <t>UPPER</t>
  </si>
  <si>
    <t>LOWER</t>
  </si>
  <si>
    <t>PROPER</t>
  </si>
  <si>
    <t>SUNKARI</t>
  </si>
  <si>
    <t xml:space="preserve">Hirve  </t>
  </si>
  <si>
    <t>CHARITHA SRI</t>
  </si>
  <si>
    <t>Ramakrishna</t>
  </si>
  <si>
    <t xml:space="preserve">Koneti  </t>
  </si>
  <si>
    <t xml:space="preserve">Mali   </t>
  </si>
  <si>
    <t>Peddapelly</t>
  </si>
  <si>
    <t>Bolla</t>
  </si>
  <si>
    <t>Sujay</t>
  </si>
  <si>
    <t>Nagaraju</t>
  </si>
  <si>
    <t>Satyanarayana</t>
  </si>
  <si>
    <t>Shivakoti</t>
  </si>
  <si>
    <t>premkumar</t>
  </si>
  <si>
    <t>Moharana</t>
  </si>
  <si>
    <t>Singiri</t>
  </si>
  <si>
    <t>Mechineni</t>
  </si>
  <si>
    <t>Mandadapu</t>
  </si>
  <si>
    <t>ejaswi-kota</t>
  </si>
  <si>
    <t>sri priya</t>
  </si>
  <si>
    <t>Padurthi</t>
  </si>
  <si>
    <t>First Name</t>
  </si>
  <si>
    <t>Last Name</t>
  </si>
  <si>
    <t>Full Name</t>
  </si>
  <si>
    <t>Region Sales</t>
  </si>
  <si>
    <t>Sales Category</t>
  </si>
  <si>
    <t>First</t>
  </si>
  <si>
    <t>AKSHAY SUNKARI</t>
  </si>
  <si>
    <t>ATLURI CHARITHA SRI</t>
  </si>
  <si>
    <t>B Ramakrishna</t>
  </si>
  <si>
    <t>Customer Name</t>
  </si>
  <si>
    <t>Order ID</t>
  </si>
  <si>
    <t>ORD1001</t>
  </si>
  <si>
    <t>ORD1002</t>
  </si>
  <si>
    <t>ORD1003</t>
  </si>
  <si>
    <t>ORD1005</t>
  </si>
  <si>
    <t>ORD1006</t>
  </si>
  <si>
    <t>ORD1008</t>
  </si>
  <si>
    <t>ORD1009</t>
  </si>
  <si>
    <t>Laptop</t>
  </si>
  <si>
    <t>Mouse</t>
  </si>
  <si>
    <t>Keyboard</t>
  </si>
  <si>
    <t>Monitor</t>
  </si>
  <si>
    <t>Printer</t>
  </si>
  <si>
    <t>Product Name</t>
  </si>
  <si>
    <t>Quantity</t>
  </si>
  <si>
    <t>CustomerID</t>
  </si>
  <si>
    <t>C001</t>
  </si>
  <si>
    <t>C002</t>
  </si>
  <si>
    <t>C003</t>
  </si>
  <si>
    <t>C004</t>
  </si>
  <si>
    <t>C005</t>
  </si>
  <si>
    <t>C006</t>
  </si>
  <si>
    <t>C007</t>
  </si>
  <si>
    <t>C008</t>
  </si>
  <si>
    <t>C009</t>
  </si>
  <si>
    <t>New York</t>
  </si>
  <si>
    <t>London</t>
  </si>
  <si>
    <t>Paris</t>
  </si>
  <si>
    <t>Cairo</t>
  </si>
  <si>
    <t>Rome</t>
  </si>
  <si>
    <t>City</t>
  </si>
  <si>
    <t>Anvesh Hirve</t>
  </si>
  <si>
    <t>Bhavana Koneti</t>
  </si>
  <si>
    <t>akshay sunkari</t>
  </si>
  <si>
    <t>anvesh hirve</t>
  </si>
  <si>
    <t>atluri charitha sri</t>
  </si>
  <si>
    <t>b ramakrishna</t>
  </si>
  <si>
    <t>bhavana koneti</t>
  </si>
  <si>
    <t xml:space="preserve">	brijesh mali</t>
  </si>
  <si>
    <t>chandana peddapelly</t>
  </si>
  <si>
    <t>dinesh kumar bolla</t>
  </si>
  <si>
    <t>j sujay</t>
  </si>
  <si>
    <t>Customer ID</t>
  </si>
  <si>
    <t>Emma</t>
  </si>
  <si>
    <t>Olivia</t>
  </si>
  <si>
    <t>Michael</t>
  </si>
  <si>
    <t>David</t>
  </si>
  <si>
    <t>Sarah</t>
  </si>
  <si>
    <t>1 - How Many customers from USA - if we want to filter specific value inforamtion then we can use function called COUNTIF</t>
  </si>
  <si>
    <t xml:space="preserve">How Many Sales Made in USA </t>
  </si>
  <si>
    <t>COUNTIF &amp; COUNT IFS</t>
  </si>
  <si>
    <t>How Many Sales for Product  A in USA</t>
  </si>
  <si>
    <t>What is the total sales in USA</t>
  </si>
  <si>
    <t>SUMIF</t>
  </si>
  <si>
    <t>What is the total sales for Product A in USA</t>
  </si>
  <si>
    <t>SUMIFS</t>
  </si>
  <si>
    <t>Average sales for USA</t>
  </si>
  <si>
    <t>Average sales for Product B in USA</t>
  </si>
  <si>
    <t>Column1</t>
  </si>
  <si>
    <t xml:space="preserve">	Brijesh Mali</t>
  </si>
  <si>
    <t>Naveen Shivakoti</t>
  </si>
  <si>
    <t>rudra premkumar</t>
  </si>
  <si>
    <t>Order Date</t>
  </si>
  <si>
    <t>Salesperson</t>
  </si>
  <si>
    <t>Category</t>
  </si>
  <si>
    <t>Unit Price</t>
  </si>
  <si>
    <t>North</t>
  </si>
  <si>
    <t>Accessories</t>
  </si>
  <si>
    <t>Electronics</t>
  </si>
  <si>
    <t>West</t>
  </si>
  <si>
    <t>South</t>
  </si>
  <si>
    <t>Benjamin</t>
  </si>
  <si>
    <t>East</t>
  </si>
  <si>
    <t>Headset</t>
  </si>
  <si>
    <t>Noah</t>
  </si>
  <si>
    <t>Chair</t>
  </si>
  <si>
    <t>Furniture</t>
  </si>
  <si>
    <t>Office</t>
  </si>
  <si>
    <t>Desk</t>
  </si>
  <si>
    <t>Charlotte</t>
  </si>
  <si>
    <t>Marta</t>
  </si>
  <si>
    <t>Sales Person Name</t>
  </si>
  <si>
    <t>Total Sales</t>
  </si>
  <si>
    <t>Barchart</t>
  </si>
  <si>
    <t>Month</t>
  </si>
  <si>
    <t>Jan</t>
  </si>
  <si>
    <t>Feb</t>
  </si>
  <si>
    <t>Mar</t>
  </si>
  <si>
    <t>Apr</t>
  </si>
  <si>
    <t>May</t>
  </si>
  <si>
    <t>Jun</t>
  </si>
  <si>
    <t>Jul</t>
  </si>
  <si>
    <t>Aug</t>
  </si>
  <si>
    <t>Sep</t>
  </si>
  <si>
    <t>Oct</t>
  </si>
  <si>
    <t>Nov</t>
  </si>
  <si>
    <t>Dec</t>
  </si>
  <si>
    <t>Column Chart &amp; Pie and Dounut chart</t>
  </si>
  <si>
    <t>Line Chart/Area chart</t>
  </si>
  <si>
    <t>Advertising</t>
  </si>
  <si>
    <t>Scatter chart</t>
  </si>
  <si>
    <t>Revenue</t>
  </si>
  <si>
    <t>Profit</t>
  </si>
  <si>
    <t>Combochart</t>
  </si>
  <si>
    <t>VLOOKUP</t>
  </si>
  <si>
    <t>CustomerName</t>
  </si>
  <si>
    <t>XLOOKUP</t>
  </si>
  <si>
    <t xml:space="preserve">Absolute Reference </t>
  </si>
  <si>
    <t>HLOOKUP</t>
  </si>
  <si>
    <t>Employee Name</t>
  </si>
  <si>
    <t>DepartMent Name</t>
  </si>
  <si>
    <t>HR</t>
  </si>
  <si>
    <t xml:space="preserve">it should allow departments Name as HR, IT, Finanace </t>
  </si>
  <si>
    <t xml:space="preserve">HR - Human resources </t>
  </si>
  <si>
    <t>IT</t>
  </si>
  <si>
    <t>Finanace</t>
  </si>
  <si>
    <t>Finance</t>
  </si>
  <si>
    <t>SC</t>
  </si>
  <si>
    <t>Salary</t>
  </si>
  <si>
    <t>FI</t>
  </si>
  <si>
    <t>Department Name</t>
  </si>
  <si>
    <t>New Departmnet Name</t>
  </si>
  <si>
    <t>Facility</t>
  </si>
  <si>
    <t>DepartmentName</t>
  </si>
  <si>
    <t>Grand Total</t>
  </si>
  <si>
    <t>Sum of Sales</t>
  </si>
  <si>
    <t>Order date</t>
  </si>
  <si>
    <t>Month Name</t>
  </si>
  <si>
    <t>MonthName</t>
  </si>
  <si>
    <t>Row Labels</t>
  </si>
  <si>
    <t>Average of Sales</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</si>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</sst>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m\-yyyy"/>
  </numFmts>
  <fonts count="5" x14ac:knownFonts="1">
    <font>
      <sz val="11"/>
      <color theme="1"/>
      <name val="Aptos Narrow"/>
      <family val="2"/>
      <scheme val="minor"/>
    </font>
    <font>
      <b/>
      <sz val="11"/>
      <color theme="1"/>
      <name val="Aptos Narrow"/>
      <family val="2"/>
      <scheme val="minor"/>
    </font>
    <font>
      <sz val="8"/>
      <color rgb="FF454545"/>
      <name val="Segoe UI"/>
      <family val="2"/>
    </font>
    <font>
      <sz val="8"/>
      <name val="Aptos Narrow"/>
      <family val="2"/>
      <scheme val="minor"/>
    </font>
    <font>
      <b/>
      <sz val="11"/>
      <name val="Calibri"/>
    </font>
  </fonts>
  <fills count="9">
    <fill>
      <patternFill patternType="none"/>
    </fill>
    <fill>
      <patternFill patternType="gray125"/>
    </fill>
    <fill>
      <patternFill patternType="solid">
        <fgColor rgb="FF92D050"/>
        <bgColor indexed="64"/>
      </patternFill>
    </fill>
    <fill>
      <patternFill patternType="solid">
        <fgColor rgb="FFF7CAB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49992370372631"/>
        <bgColor indexed="64"/>
      </patternFill>
    </fill>
    <fill>
      <patternFill patternType="solid">
        <fgColor theme="5"/>
        <bgColor indexed="64"/>
      </patternFill>
    </fill>
    <fill>
      <patternFill patternType="solid">
        <fgColor theme="9"/>
        <bgColor indexed="64"/>
      </patternFill>
    </fill>
  </fills>
  <borders count="5">
    <border>
      <left/>
      <right/>
      <top/>
      <bottom/>
      <diagonal/>
    </border>
    <border>
      <left/>
      <right/>
      <top/>
      <bottom style="thin">
        <color theme="1"/>
      </bottom>
      <diagonal/>
    </border>
    <border>
      <left style="thin">
        <color indexed="64"/>
      </left>
      <right style="thin">
        <color indexed="64"/>
      </right>
      <top style="thin">
        <color indexed="64"/>
      </top>
      <bottom style="thin">
        <color indexed="64"/>
      </bottom>
      <diagonal/>
    </border>
    <border>
      <left style="thin">
        <color theme="8"/>
      </left>
      <right style="thin">
        <color theme="8"/>
      </right>
      <top/>
      <bottom style="thin">
        <color theme="8"/>
      </bottom>
      <diagonal/>
    </border>
    <border>
      <left/>
      <right/>
      <top/>
      <bottom style="thin">
        <color indexed="64"/>
      </bottom>
      <diagonal/>
    </border>
  </borders>
  <cellStyleXfs count="1">
    <xf numFmtId="0" fontId="0" fillId="0" borderId="0"/>
  </cellStyleXfs>
  <cellXfs count="33">
    <xf numFmtId="0" fontId="0" fillId="0" borderId="0" xfId="0"/>
    <xf numFmtId="164" fontId="0" fillId="0" borderId="0" xfId="0" applyNumberFormat="1" applyAlignment="1">
      <alignment horizontal="left"/>
    </xf>
    <xf numFmtId="0" fontId="2" fillId="0" borderId="0" xfId="0" applyFont="1"/>
    <xf numFmtId="164" fontId="0" fillId="0" borderId="1" xfId="0" applyNumberFormat="1" applyBorder="1" applyAlignment="1">
      <alignment horizontal="left"/>
    </xf>
    <xf numFmtId="0" fontId="0" fillId="0" borderId="1" xfId="0" applyBorder="1"/>
    <xf numFmtId="0" fontId="1" fillId="0" borderId="0" xfId="0" applyFont="1"/>
    <xf numFmtId="0" fontId="1" fillId="2" borderId="0" xfId="0" applyFont="1" applyFill="1"/>
    <xf numFmtId="0" fontId="0" fillId="0" borderId="2" xfId="0" applyBorder="1"/>
    <xf numFmtId="0" fontId="1" fillId="0" borderId="2" xfId="0" applyFont="1" applyBorder="1"/>
    <xf numFmtId="0" fontId="0" fillId="0" borderId="3" xfId="0" applyBorder="1"/>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3" borderId="0" xfId="0" applyFill="1"/>
    <xf numFmtId="0" fontId="4" fillId="0" borderId="0" xfId="0" applyFont="1"/>
    <xf numFmtId="165" fontId="0" fillId="0" borderId="0" xfId="0" applyNumberFormat="1"/>
    <xf numFmtId="0" fontId="1" fillId="5" borderId="2" xfId="0" applyFont="1" applyFill="1" applyBorder="1"/>
    <xf numFmtId="0" fontId="0" fillId="5" borderId="2" xfId="0" applyFill="1" applyBorder="1"/>
    <xf numFmtId="0" fontId="1" fillId="6" borderId="2" xfId="0" applyFont="1" applyFill="1" applyBorder="1"/>
    <xf numFmtId="0" fontId="0" fillId="6" borderId="2" xfId="0" applyFill="1" applyBorder="1"/>
    <xf numFmtId="0" fontId="0" fillId="6" borderId="0" xfId="0" applyFill="1"/>
    <xf numFmtId="0" fontId="1" fillId="7" borderId="2" xfId="0" applyFont="1" applyFill="1" applyBorder="1"/>
    <xf numFmtId="0" fontId="0" fillId="7" borderId="2" xfId="0" applyFill="1" applyBorder="1"/>
    <xf numFmtId="0" fontId="1" fillId="0" borderId="2" xfId="0" applyFont="1" applyBorder="1" applyAlignment="1">
      <alignment horizontal="center" vertical="center" wrapText="1"/>
    </xf>
    <xf numFmtId="0" fontId="0" fillId="0" borderId="2" xfId="0" applyBorder="1" applyAlignment="1">
      <alignment vertical="center" wrapText="1"/>
    </xf>
    <xf numFmtId="0" fontId="0" fillId="0" borderId="0" xfId="0" pivotButton="1"/>
    <xf numFmtId="0" fontId="0" fillId="0" borderId="0" xfId="0" applyAlignment="1">
      <alignment horizontal="left"/>
    </xf>
    <xf numFmtId="0" fontId="0" fillId="3" borderId="0" xfId="0" applyFill="1" applyAlignment="1">
      <alignment horizontal="center"/>
    </xf>
    <xf numFmtId="0" fontId="0" fillId="4" borderId="4" xfId="0" applyFill="1" applyBorder="1" applyAlignment="1">
      <alignment horizontal="center"/>
    </xf>
    <xf numFmtId="0" fontId="0" fillId="8" borderId="4" xfId="0" applyFill="1" applyBorder="1" applyAlignment="1">
      <alignment horizontal="center"/>
    </xf>
    <xf numFmtId="0" fontId="0" fillId="0" borderId="0" xfId="0" applyNumberFormat="1"/>
    <xf numFmtId="0" fontId="0" fillId="0" borderId="0" xfId="0" applyFill="1"/>
    <xf numFmtId="2" fontId="0" fillId="0" borderId="0" xfId="0" applyNumberFormat="1"/>
  </cellXfs>
  <cellStyles count="1">
    <cellStyle name="Normal" xfId="0" builtinId="0"/>
  </cellStyles>
  <dxfs count="56">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fill>
        <patternFill patternType="none">
          <fgColor indexed="64"/>
          <bgColor indexed="65"/>
        </patternFill>
      </fill>
    </dxf>
    <dxf>
      <numFmt numFmtId="0" formatCode="General"/>
    </dxf>
    <dxf>
      <numFmt numFmtId="165" formatCode="dd\-mmm\-yyyy"/>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65" formatCode="dd\-mmm\-yy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[IFs Functions and Data Validation and Pivots and Charts and Mini Dashboard.xlsx]Sheet11!PivotTable5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Sheet11!$A$5:$A$6</c:f>
              <c:strCache>
                <c:ptCount val="1"/>
                <c:pt idx="0">
                  <c:v>West</c:v>
                </c:pt>
              </c:strCache>
            </c:strRef>
          </c:cat>
          <c:val>
            <c:numRef>
              <c:f>Sheet11!$B$5:$B$6</c:f>
              <c:numCache>
                <c:formatCode>General</c:formatCode>
                <c:ptCount val="1"/>
                <c:pt idx="0">
                  <c:v>225</c:v>
                </c:pt>
              </c:numCache>
            </c:numRef>
          </c:val>
          <c:extLst>
            <c:ext xmlns:c16="http://schemas.microsoft.com/office/drawing/2014/chart" uri="{C3380CC4-5D6E-409C-BE32-E72D297353CC}">
              <c16:uniqueId val="{00000000-DE5E-4C31-A417-79F5B44CCE10}"/>
            </c:ext>
          </c:extLst>
        </c:ser>
        <c:dLbls>
          <c:showLegendKey val="0"/>
          <c:showVal val="0"/>
          <c:showCatName val="0"/>
          <c:showSerName val="0"/>
          <c:showPercent val="0"/>
          <c:showBubbleSize val="0"/>
        </c:dLbls>
        <c:gapWidth val="219"/>
        <c:overlap val="-27"/>
        <c:axId val="922175472"/>
        <c:axId val="620172944"/>
      </c:barChart>
      <c:catAx>
        <c:axId val="92217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72944"/>
        <c:crosses val="autoZero"/>
        <c:auto val="1"/>
        <c:lblAlgn val="ctr"/>
        <c:lblOffset val="100"/>
        <c:noMultiLvlLbl val="0"/>
      </c:catAx>
      <c:valAx>
        <c:axId val="6201729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2217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13052445523417081"/>
          <c:y val="0.13940972222222225"/>
          <c:w val="0.8356689186671139"/>
          <c:h val="0.65157252478856809"/>
        </c:manualLayout>
      </c:layout>
      <c:barChart>
        <c:barDir val="col"/>
        <c:grouping val="clustered"/>
        <c:varyColors val="0"/>
        <c:ser>
          <c:idx val="0"/>
          <c:order val="0"/>
          <c:tx>
            <c:strRef>
              <c:f>'Charts Data'!$B$2</c:f>
              <c:strCache>
                <c:ptCount val="1"/>
                <c:pt idx="0">
                  <c:v>Total Sales</c:v>
                </c:pt>
              </c:strCache>
            </c:strRef>
          </c:tx>
          <c:spPr>
            <a:pattFill prst="ltUpDiag">
              <a:fgClr>
                <a:schemeClr val="accent3"/>
              </a:fgClr>
              <a:bgClr>
                <a:schemeClr val="lt1"/>
              </a:bgClr>
            </a:pattFill>
            <a:ln>
              <a:noFill/>
            </a:ln>
            <a:effectLst/>
          </c:spPr>
          <c:invertIfNegative val="0"/>
          <c:dLbls>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'Charts Data'!$A$3:$A$6</c:f>
              <c:strCache>
                <c:ptCount val="4"/>
                <c:pt idx="0">
                  <c:v>North</c:v>
                </c:pt>
                <c:pt idx="1">
                  <c:v>South</c:v>
                </c:pt>
                <c:pt idx="2">
                  <c:v>East</c:v>
                </c:pt>
                <c:pt idx="3">
                  <c:v>West</c:v>
                </c:pt>
              </c:strCache>
            </c:strRef>
          </c:cat>
          <c:val>
            <c:numRef>
              <c:f>'Charts Data'!$B$3:$B$6</c:f>
              <c:numCache>
                <c:formatCode>General</c:formatCode>
                <c:ptCount val="4"/>
                <c:pt idx="0">
                  <c:v>18450</c:v>
                </c:pt>
                <c:pt idx="1">
                  <c:v>14200</c:v>
                </c:pt>
                <c:pt idx="2">
                  <c:v>16900</c:v>
                </c:pt>
                <c:pt idx="3">
                  <c:v>12750</c:v>
                </c:pt>
              </c:numCache>
            </c:numRef>
          </c:val>
          <c:extLst>
            <c:ext xmlns:c16="http://schemas.microsoft.com/office/drawing/2014/chart" uri="{C3380CC4-5D6E-409C-BE32-E72D297353CC}">
              <c16:uniqueId val="{00000000-B625-4C91-AF21-E07FA8C10776}"/>
            </c:ext>
          </c:extLst>
        </c:ser>
        <c:dLbls>
          <c:dLblPos val="outEnd"/>
          <c:showLegendKey val="0"/>
          <c:showVal val="1"/>
          <c:showCatName val="0"/>
          <c:showSerName val="0"/>
          <c:showPercent val="0"/>
          <c:showBubbleSize val="0"/>
        </c:dLbls>
        <c:gapWidth val="269"/>
        <c:overlap val="-20"/>
        <c:axId val="830325152"/>
        <c:axId val="620159024"/>
      </c:barChart>
      <c:catAx>
        <c:axId val="83032515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20159024"/>
        <c:crosses val="autoZero"/>
        <c:auto val="1"/>
        <c:lblAlgn val="ctr"/>
        <c:lblOffset val="100"/>
        <c:noMultiLvlLbl val="0"/>
      </c:catAx>
      <c:valAx>
        <c:axId val="62015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03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 Data'!$B$2</c:f>
              <c:strCache>
                <c:ptCount val="1"/>
                <c:pt idx="0">
                  <c:v>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6A-4B3E-A1E6-B5D27735D21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6A-4B3E-A1E6-B5D27735D21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6A-4B3E-A1E6-B5D27735D21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B6A-4B3E-A1E6-B5D27735D21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Data'!$A$3:$A$6</c:f>
              <c:strCache>
                <c:ptCount val="4"/>
                <c:pt idx="0">
                  <c:v>North</c:v>
                </c:pt>
                <c:pt idx="1">
                  <c:v>South</c:v>
                </c:pt>
                <c:pt idx="2">
                  <c:v>East</c:v>
                </c:pt>
                <c:pt idx="3">
                  <c:v>West</c:v>
                </c:pt>
              </c:strCache>
            </c:strRef>
          </c:cat>
          <c:val>
            <c:numRef>
              <c:f>'Charts Data'!$B$3:$B$6</c:f>
              <c:numCache>
                <c:formatCode>General</c:formatCode>
                <c:ptCount val="4"/>
                <c:pt idx="0">
                  <c:v>18450</c:v>
                </c:pt>
                <c:pt idx="1">
                  <c:v>14200</c:v>
                </c:pt>
                <c:pt idx="2">
                  <c:v>16900</c:v>
                </c:pt>
                <c:pt idx="3">
                  <c:v>12750</c:v>
                </c:pt>
              </c:numCache>
            </c:numRef>
          </c:val>
          <c:extLst>
            <c:ext xmlns:c16="http://schemas.microsoft.com/office/drawing/2014/chart" uri="{C3380CC4-5D6E-409C-BE32-E72D297353CC}">
              <c16:uniqueId val="{00000008-DB6A-4B3E-A1E6-B5D27735D21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19486111111111112"/>
          <c:w val="0.86497462817147852"/>
          <c:h val="0.72125801983085447"/>
        </c:manualLayout>
      </c:layout>
      <c:lineChart>
        <c:grouping val="standard"/>
        <c:varyColors val="0"/>
        <c:ser>
          <c:idx val="0"/>
          <c:order val="0"/>
          <c:tx>
            <c:strRef>
              <c:f>'Charts Data'!$H$2</c:f>
              <c:strCache>
                <c:ptCount val="1"/>
                <c:pt idx="0">
                  <c:v>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Data'!$H$3:$H$14</c:f>
              <c:numCache>
                <c:formatCode>General</c:formatCode>
                <c:ptCount val="12"/>
                <c:pt idx="0">
                  <c:v>4200</c:v>
                </c:pt>
                <c:pt idx="1">
                  <c:v>5100</c:v>
                </c:pt>
                <c:pt idx="2">
                  <c:v>4800</c:v>
                </c:pt>
                <c:pt idx="3">
                  <c:v>6300</c:v>
                </c:pt>
                <c:pt idx="4">
                  <c:v>7000</c:v>
                </c:pt>
                <c:pt idx="5">
                  <c:v>7600</c:v>
                </c:pt>
                <c:pt idx="6">
                  <c:v>8100</c:v>
                </c:pt>
                <c:pt idx="7">
                  <c:v>8500</c:v>
                </c:pt>
                <c:pt idx="8">
                  <c:v>7900</c:v>
                </c:pt>
                <c:pt idx="9">
                  <c:v>8800</c:v>
                </c:pt>
                <c:pt idx="10">
                  <c:v>9300</c:v>
                </c:pt>
                <c:pt idx="11">
                  <c:v>10100</c:v>
                </c:pt>
              </c:numCache>
            </c:numRef>
          </c:val>
          <c:smooth val="0"/>
          <c:extLst>
            <c:ext xmlns:c16="http://schemas.microsoft.com/office/drawing/2014/chart" uri="{C3380CC4-5D6E-409C-BE32-E72D297353CC}">
              <c16:uniqueId val="{00000000-B803-4A68-B7BC-1F499184EEA8}"/>
            </c:ext>
          </c:extLst>
        </c:ser>
        <c:dLbls>
          <c:dLblPos val="t"/>
          <c:showLegendKey val="0"/>
          <c:showVal val="1"/>
          <c:showCatName val="0"/>
          <c:showSerName val="0"/>
          <c:showPercent val="0"/>
          <c:showBubbleSize val="0"/>
        </c:dLbls>
        <c:smooth val="0"/>
        <c:axId val="950984640"/>
        <c:axId val="620154224"/>
      </c:lineChart>
      <c:catAx>
        <c:axId val="9509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4224"/>
        <c:crosses val="autoZero"/>
        <c:auto val="1"/>
        <c:lblAlgn val="ctr"/>
        <c:lblOffset val="100"/>
        <c:noMultiLvlLbl val="0"/>
      </c:catAx>
      <c:valAx>
        <c:axId val="6201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Data'!$N$2</c:f>
              <c:strCache>
                <c:ptCount val="1"/>
                <c:pt idx="0">
                  <c:v>Revenue</c:v>
                </c:pt>
              </c:strCache>
            </c:strRef>
          </c:tx>
          <c:spPr>
            <a:solidFill>
              <a:schemeClr val="accent1"/>
            </a:solidFill>
            <a:ln>
              <a:noFill/>
            </a:ln>
            <a:effectLst/>
          </c:spPr>
          <c:invertIfNegative val="0"/>
          <c:cat>
            <c:strRef>
              <c:f>'Charts Data'!$M$3:$M$8</c:f>
              <c:strCache>
                <c:ptCount val="6"/>
                <c:pt idx="0">
                  <c:v>Jan</c:v>
                </c:pt>
                <c:pt idx="1">
                  <c:v>Feb</c:v>
                </c:pt>
                <c:pt idx="2">
                  <c:v>Mar</c:v>
                </c:pt>
                <c:pt idx="3">
                  <c:v>Apr</c:v>
                </c:pt>
                <c:pt idx="4">
                  <c:v>May</c:v>
                </c:pt>
                <c:pt idx="5">
                  <c:v>Jun</c:v>
                </c:pt>
              </c:strCache>
            </c:strRef>
          </c:cat>
          <c:val>
            <c:numRef>
              <c:f>'Charts Data'!$N$3:$N$8</c:f>
              <c:numCache>
                <c:formatCode>General</c:formatCode>
                <c:ptCount val="6"/>
                <c:pt idx="0">
                  <c:v>12000</c:v>
                </c:pt>
                <c:pt idx="1">
                  <c:v>15000</c:v>
                </c:pt>
                <c:pt idx="2">
                  <c:v>17000</c:v>
                </c:pt>
                <c:pt idx="3">
                  <c:v>18000</c:v>
                </c:pt>
                <c:pt idx="4">
                  <c:v>22000</c:v>
                </c:pt>
                <c:pt idx="5">
                  <c:v>25000</c:v>
                </c:pt>
              </c:numCache>
            </c:numRef>
          </c:val>
          <c:extLst>
            <c:ext xmlns:c16="http://schemas.microsoft.com/office/drawing/2014/chart" uri="{C3380CC4-5D6E-409C-BE32-E72D297353CC}">
              <c16:uniqueId val="{00000000-F8D5-4D89-BF2F-8735139FF0E8}"/>
            </c:ext>
          </c:extLst>
        </c:ser>
        <c:dLbls>
          <c:showLegendKey val="0"/>
          <c:showVal val="0"/>
          <c:showCatName val="0"/>
          <c:showSerName val="0"/>
          <c:showPercent val="0"/>
          <c:showBubbleSize val="0"/>
        </c:dLbls>
        <c:gapWidth val="150"/>
        <c:axId val="829063152"/>
        <c:axId val="620145104"/>
      </c:barChart>
      <c:lineChart>
        <c:grouping val="standard"/>
        <c:varyColors val="0"/>
        <c:ser>
          <c:idx val="1"/>
          <c:order val="1"/>
          <c:tx>
            <c:strRef>
              <c:f>'Charts Data'!$O$2</c:f>
              <c:strCache>
                <c:ptCount val="1"/>
                <c:pt idx="0">
                  <c:v>Profit</c:v>
                </c:pt>
              </c:strCache>
            </c:strRef>
          </c:tx>
          <c:spPr>
            <a:ln w="28575" cap="rnd">
              <a:solidFill>
                <a:schemeClr val="accent2"/>
              </a:solidFill>
              <a:round/>
            </a:ln>
            <a:effectLst/>
          </c:spPr>
          <c:marker>
            <c:symbol val="none"/>
          </c:marker>
          <c:cat>
            <c:strRef>
              <c:f>'Charts Data'!$M$3:$M$8</c:f>
              <c:strCache>
                <c:ptCount val="6"/>
                <c:pt idx="0">
                  <c:v>Jan</c:v>
                </c:pt>
                <c:pt idx="1">
                  <c:v>Feb</c:v>
                </c:pt>
                <c:pt idx="2">
                  <c:v>Mar</c:v>
                </c:pt>
                <c:pt idx="3">
                  <c:v>Apr</c:v>
                </c:pt>
                <c:pt idx="4">
                  <c:v>May</c:v>
                </c:pt>
                <c:pt idx="5">
                  <c:v>Jun</c:v>
                </c:pt>
              </c:strCache>
            </c:strRef>
          </c:cat>
          <c:val>
            <c:numRef>
              <c:f>'Charts Data'!$O$3:$O$8</c:f>
              <c:numCache>
                <c:formatCode>General</c:formatCode>
                <c:ptCount val="6"/>
                <c:pt idx="0">
                  <c:v>2200</c:v>
                </c:pt>
                <c:pt idx="1">
                  <c:v>3100</c:v>
                </c:pt>
                <c:pt idx="2">
                  <c:v>3600</c:v>
                </c:pt>
                <c:pt idx="3">
                  <c:v>4100</c:v>
                </c:pt>
                <c:pt idx="4">
                  <c:v>5200</c:v>
                </c:pt>
                <c:pt idx="5">
                  <c:v>6100</c:v>
                </c:pt>
              </c:numCache>
            </c:numRef>
          </c:val>
          <c:smooth val="0"/>
          <c:extLst>
            <c:ext xmlns:c16="http://schemas.microsoft.com/office/drawing/2014/chart" uri="{C3380CC4-5D6E-409C-BE32-E72D297353CC}">
              <c16:uniqueId val="{00000001-F8D5-4D89-BF2F-8735139FF0E8}"/>
            </c:ext>
          </c:extLst>
        </c:ser>
        <c:dLbls>
          <c:showLegendKey val="0"/>
          <c:showVal val="0"/>
          <c:showCatName val="0"/>
          <c:showSerName val="0"/>
          <c:showPercent val="0"/>
          <c:showBubbleSize val="0"/>
        </c:dLbls>
        <c:marker val="1"/>
        <c:smooth val="0"/>
        <c:axId val="829063152"/>
        <c:axId val="620145104"/>
      </c:lineChart>
      <c:catAx>
        <c:axId val="82906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5104"/>
        <c:crosses val="autoZero"/>
        <c:auto val="1"/>
        <c:lblAlgn val="ctr"/>
        <c:lblOffset val="100"/>
        <c:noMultiLvlLbl val="0"/>
      </c:catAx>
      <c:valAx>
        <c:axId val="6201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6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[IFs Functions and Data Validation and Pivots and Charts and Mini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layout>
        <c:manualLayout>
          <c:xMode val="edge"/>
          <c:yMode val="edge"/>
          <c:x val="0.3299512248468941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2735</c:v>
                </c:pt>
                <c:pt idx="1">
                  <c:v>3645</c:v>
                </c:pt>
                <c:pt idx="2">
                  <c:v>1375</c:v>
                </c:pt>
                <c:pt idx="3">
                  <c:v>3230</c:v>
                </c:pt>
              </c:numCache>
            </c:numRef>
          </c:val>
          <c:extLst>
            <c:ext xmlns:c16="http://schemas.microsoft.com/office/drawing/2014/chart" uri="{C3380CC4-5D6E-409C-BE32-E72D297353CC}">
              <c16:uniqueId val="{00000000-EFFE-4561-A079-33BE0EA43442}"/>
            </c:ext>
          </c:extLst>
        </c:ser>
        <c:dLbls>
          <c:dLblPos val="outEnd"/>
          <c:showLegendKey val="0"/>
          <c:showVal val="1"/>
          <c:showCatName val="0"/>
          <c:showSerName val="0"/>
          <c:showPercent val="0"/>
          <c:showBubbleSize val="0"/>
        </c:dLbls>
        <c:gapWidth val="219"/>
        <c:overlap val="-27"/>
        <c:axId val="1454434079"/>
        <c:axId val="1316638831"/>
      </c:barChart>
      <c:catAx>
        <c:axId val="14544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638831"/>
        <c:crosses val="autoZero"/>
        <c:auto val="1"/>
        <c:lblAlgn val="ctr"/>
        <c:lblOffset val="100"/>
        <c:noMultiLvlLbl val="0"/>
      </c:catAx>
      <c:valAx>
        <c:axId val="13166388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5443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[IFs Functions and Data Validation and Pivots and Charts and Mini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Accessories</c:v>
                </c:pt>
                <c:pt idx="1">
                  <c:v>Electronics</c:v>
                </c:pt>
                <c:pt idx="2">
                  <c:v>Furniture</c:v>
                </c:pt>
                <c:pt idx="3">
                  <c:v>Office</c:v>
                </c:pt>
              </c:strCache>
            </c:strRef>
          </c:cat>
          <c:val>
            <c:numRef>
              <c:f>'Pivot Tables'!$E$4:$E$8</c:f>
              <c:numCache>
                <c:formatCode>General</c:formatCode>
                <c:ptCount val="4"/>
                <c:pt idx="0">
                  <c:v>10985</c:v>
                </c:pt>
                <c:pt idx="1">
                  <c:v>71350</c:v>
                </c:pt>
                <c:pt idx="2">
                  <c:v>25680</c:v>
                </c:pt>
                <c:pt idx="3">
                  <c:v>6600</c:v>
                </c:pt>
              </c:numCache>
            </c:numRef>
          </c:val>
          <c:extLst>
            <c:ext xmlns:c16="http://schemas.microsoft.com/office/drawing/2014/chart" uri="{C3380CC4-5D6E-409C-BE32-E72D297353CC}">
              <c16:uniqueId val="{00000000-EFAB-473C-AD2A-E2D198C61A26}"/>
            </c:ext>
          </c:extLst>
        </c:ser>
        <c:dLbls>
          <c:dLblPos val="outEnd"/>
          <c:showLegendKey val="0"/>
          <c:showVal val="1"/>
          <c:showCatName val="0"/>
          <c:showSerName val="0"/>
          <c:showPercent val="0"/>
          <c:showBubbleSize val="0"/>
        </c:dLbls>
        <c:gapWidth val="182"/>
        <c:axId val="1538335503"/>
        <c:axId val="1316706511"/>
      </c:barChart>
      <c:catAx>
        <c:axId val="153833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06511"/>
        <c:crosses val="autoZero"/>
        <c:auto val="1"/>
        <c:lblAlgn val="ctr"/>
        <c:lblOffset val="100"/>
        <c:noMultiLvlLbl val="0"/>
      </c:catAx>
      <c:valAx>
        <c:axId val="131670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3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[IFs Functions and Data Validation and Pivots and Charts and Mini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4"/>
                <c:pt idx="0">
                  <c:v>Jan</c:v>
                </c:pt>
                <c:pt idx="1">
                  <c:v>Feb</c:v>
                </c:pt>
                <c:pt idx="2">
                  <c:v>Mar</c:v>
                </c:pt>
                <c:pt idx="3">
                  <c:v>Apr</c:v>
                </c:pt>
              </c:strCache>
            </c:strRef>
          </c:cat>
          <c:val>
            <c:numRef>
              <c:f>'Pivot Tables'!$H$4:$H$8</c:f>
              <c:numCache>
                <c:formatCode>General</c:formatCode>
                <c:ptCount val="4"/>
                <c:pt idx="0">
                  <c:v>51510</c:v>
                </c:pt>
                <c:pt idx="1">
                  <c:v>28615</c:v>
                </c:pt>
                <c:pt idx="2">
                  <c:v>34345</c:v>
                </c:pt>
                <c:pt idx="3">
                  <c:v>145</c:v>
                </c:pt>
              </c:numCache>
            </c:numRef>
          </c:val>
          <c:smooth val="0"/>
          <c:extLst>
            <c:ext xmlns:c16="http://schemas.microsoft.com/office/drawing/2014/chart" uri="{C3380CC4-5D6E-409C-BE32-E72D297353CC}">
              <c16:uniqueId val="{00000000-AD7E-4302-9DB8-F36A954D9D57}"/>
            </c:ext>
          </c:extLst>
        </c:ser>
        <c:dLbls>
          <c:dLblPos val="t"/>
          <c:showLegendKey val="0"/>
          <c:showVal val="1"/>
          <c:showCatName val="0"/>
          <c:showSerName val="0"/>
          <c:showPercent val="0"/>
          <c:showBubbleSize val="0"/>
        </c:dLbls>
        <c:smooth val="0"/>
        <c:axId val="1538324831"/>
        <c:axId val="1316668111"/>
      </c:lineChart>
      <c:catAx>
        <c:axId val="153832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668111"/>
        <c:crosses val="autoZero"/>
        <c:auto val="1"/>
        <c:lblAlgn val="ctr"/>
        <c:lblOffset val="100"/>
        <c:noMultiLvlLbl val="0"/>
      </c:catAx>
      <c:valAx>
        <c:axId val="13166681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3832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[IFs Functions and Data Validation and Pivots and Charts and Mini Dashboard.xlsx]Pivot Tables!PivotTable4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AC-4269-B9C0-483DECFD9B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AC-4269-B9C0-483DECFD9B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AC-4269-B9C0-483DECFD9B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AC-4269-B9C0-483DECFD9BC9}"/>
              </c:ext>
            </c:extLst>
          </c:dPt>
          <c:cat>
            <c:strRef>
              <c:f>'Pivot Tables'!$J$4:$J$8</c:f>
              <c:strCache>
                <c:ptCount val="4"/>
                <c:pt idx="0">
                  <c:v>East</c:v>
                </c:pt>
                <c:pt idx="1">
                  <c:v>North</c:v>
                </c:pt>
                <c:pt idx="2">
                  <c:v>South</c:v>
                </c:pt>
                <c:pt idx="3">
                  <c:v>West</c:v>
                </c:pt>
              </c:strCache>
            </c:strRef>
          </c:cat>
          <c:val>
            <c:numRef>
              <c:f>'Pivot Tables'!$K$4:$K$8</c:f>
              <c:numCache>
                <c:formatCode>0.00</c:formatCode>
                <c:ptCount val="4"/>
                <c:pt idx="0">
                  <c:v>1897.2222222222222</c:v>
                </c:pt>
                <c:pt idx="1">
                  <c:v>760</c:v>
                </c:pt>
                <c:pt idx="2">
                  <c:v>473.33333333333331</c:v>
                </c:pt>
                <c:pt idx="3">
                  <c:v>960</c:v>
                </c:pt>
              </c:numCache>
            </c:numRef>
          </c:val>
          <c:extLst>
            <c:ext xmlns:c16="http://schemas.microsoft.com/office/drawing/2014/chart" uri="{C3380CC4-5D6E-409C-BE32-E72D297353CC}">
              <c16:uniqueId val="{00000008-CEAC-4269-B9C0-483DECFD9B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13052445523417081"/>
          <c:y val="0.13940972222222225"/>
          <c:w val="0.8356689186671139"/>
          <c:h val="0.65157252478856809"/>
        </c:manualLayout>
      </c:layout>
      <c:barChart>
        <c:barDir val="col"/>
        <c:grouping val="clustered"/>
        <c:varyColors val="0"/>
        <c:ser>
          <c:idx val="0"/>
          <c:order val="0"/>
          <c:tx>
            <c:strRef>
              <c:f>'Charts Data'!$B$2</c:f>
              <c:strCache>
                <c:ptCount val="1"/>
                <c:pt idx="0">
                  <c:v>Total Sales</c:v>
                </c:pt>
              </c:strCache>
            </c:strRef>
          </c:tx>
          <c:spPr>
            <a:pattFill prst="ltUpDiag">
              <a:fgClr>
                <a:schemeClr val="accent3"/>
              </a:fgClr>
              <a:bgClr>
                <a:schemeClr val="lt1"/>
              </a:bgClr>
            </a:pattFill>
            <a:ln>
              <a:noFill/>
            </a:ln>
            <a:effectLst/>
          </c:spPr>
          <c:invertIfNegative val="0"/>
          <c:dLbls>
            <c:spPr>
              <a:solidFill>
                <a:schemeClr val="accent3">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'Charts Data'!$A$3:$A$6</c:f>
              <c:strCache>
                <c:ptCount val="4"/>
                <c:pt idx="0">
                  <c:v>North</c:v>
                </c:pt>
                <c:pt idx="1">
                  <c:v>South</c:v>
                </c:pt>
                <c:pt idx="2">
                  <c:v>East</c:v>
                </c:pt>
                <c:pt idx="3">
                  <c:v>West</c:v>
                </c:pt>
              </c:strCache>
            </c:strRef>
          </c:cat>
          <c:val>
            <c:numRef>
              <c:f>'Charts Data'!$B$3:$B$6</c:f>
              <c:numCache>
                <c:formatCode>General</c:formatCode>
                <c:ptCount val="4"/>
                <c:pt idx="0">
                  <c:v>18450</c:v>
                </c:pt>
                <c:pt idx="1">
                  <c:v>14200</c:v>
                </c:pt>
                <c:pt idx="2">
                  <c:v>16900</c:v>
                </c:pt>
                <c:pt idx="3">
                  <c:v>12750</c:v>
                </c:pt>
              </c:numCache>
            </c:numRef>
          </c:val>
          <c:extLst>
            <c:ext xmlns:c16="http://schemas.microsoft.com/office/drawing/2014/chart" uri="{C3380CC4-5D6E-409C-BE32-E72D297353CC}">
              <c16:uniqueId val="{00000000-5450-486C-AF26-95DD8C27C452}"/>
            </c:ext>
          </c:extLst>
        </c:ser>
        <c:dLbls>
          <c:dLblPos val="outEnd"/>
          <c:showLegendKey val="0"/>
          <c:showVal val="1"/>
          <c:showCatName val="0"/>
          <c:showSerName val="0"/>
          <c:showPercent val="0"/>
          <c:showBubbleSize val="0"/>
        </c:dLbls>
        <c:gapWidth val="269"/>
        <c:overlap val="-20"/>
        <c:axId val="830325152"/>
        <c:axId val="620159024"/>
      </c:barChart>
      <c:catAx>
        <c:axId val="83032515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20159024"/>
        <c:crosses val="autoZero"/>
        <c:auto val="1"/>
        <c:lblAlgn val="ctr"/>
        <c:lblOffset val="100"/>
        <c:noMultiLvlLbl val="0"/>
      </c:catAx>
      <c:valAx>
        <c:axId val="62015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032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'Charts Data'!$B$2</c:f>
              <c:strCache>
                <c:ptCount val="1"/>
                <c:pt idx="0">
                  <c:v>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4D3-4A65-AD8E-95E1053E750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4D3-4A65-AD8E-95E1053E750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4D3-4A65-AD8E-95E1053E750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4D3-4A65-AD8E-95E1053E75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 Data'!$A$3:$A$6</c:f>
              <c:strCache>
                <c:ptCount val="4"/>
                <c:pt idx="0">
                  <c:v>North</c:v>
                </c:pt>
                <c:pt idx="1">
                  <c:v>South</c:v>
                </c:pt>
                <c:pt idx="2">
                  <c:v>East</c:v>
                </c:pt>
                <c:pt idx="3">
                  <c:v>West</c:v>
                </c:pt>
              </c:strCache>
            </c:strRef>
          </c:cat>
          <c:val>
            <c:numRef>
              <c:f>'Charts Data'!$B$3:$B$6</c:f>
              <c:numCache>
                <c:formatCode>General</c:formatCode>
                <c:ptCount val="4"/>
                <c:pt idx="0">
                  <c:v>18450</c:v>
                </c:pt>
                <c:pt idx="1">
                  <c:v>14200</c:v>
                </c:pt>
                <c:pt idx="2">
                  <c:v>16900</c:v>
                </c:pt>
                <c:pt idx="3">
                  <c:v>12750</c:v>
                </c:pt>
              </c:numCache>
            </c:numRef>
          </c:val>
          <c:extLst>
            <c:ext xmlns:c16="http://schemas.microsoft.com/office/drawing/2014/chart" uri="{C3380CC4-5D6E-409C-BE32-E72D297353CC}">
              <c16:uniqueId val="{00000000-8C71-45A9-9F2E-0954D25DBD0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46981627296588"/>
          <c:y val="0.19486111111111112"/>
          <c:w val="0.86497462817147852"/>
          <c:h val="0.72125801983085447"/>
        </c:manualLayout>
      </c:layout>
      <c:lineChart>
        <c:grouping val="standard"/>
        <c:varyColors val="0"/>
        <c:ser>
          <c:idx val="0"/>
          <c:order val="0"/>
          <c:tx>
            <c:strRef>
              <c:f>'Charts Data'!$H$2</c:f>
              <c:strCache>
                <c:ptCount val="1"/>
                <c:pt idx="0">
                  <c:v>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 Data'!$G$3:$G$14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 Data'!$H$3:$H$14</c:f>
              <c:numCache>
                <c:formatCode>General</c:formatCode>
                <c:ptCount val="12"/>
                <c:pt idx="0">
                  <c:v>4200</c:v>
                </c:pt>
                <c:pt idx="1">
                  <c:v>5100</c:v>
                </c:pt>
                <c:pt idx="2">
                  <c:v>4800</c:v>
                </c:pt>
                <c:pt idx="3">
                  <c:v>6300</c:v>
                </c:pt>
                <c:pt idx="4">
                  <c:v>7000</c:v>
                </c:pt>
                <c:pt idx="5">
                  <c:v>7600</c:v>
                </c:pt>
                <c:pt idx="6">
                  <c:v>8100</c:v>
                </c:pt>
                <c:pt idx="7">
                  <c:v>8500</c:v>
                </c:pt>
                <c:pt idx="8">
                  <c:v>7900</c:v>
                </c:pt>
                <c:pt idx="9">
                  <c:v>8800</c:v>
                </c:pt>
                <c:pt idx="10">
                  <c:v>9300</c:v>
                </c:pt>
                <c:pt idx="11">
                  <c:v>10100</c:v>
                </c:pt>
              </c:numCache>
            </c:numRef>
          </c:val>
          <c:smooth val="0"/>
          <c:extLst>
            <c:ext xmlns:c16="http://schemas.microsoft.com/office/drawing/2014/chart" uri="{C3380CC4-5D6E-409C-BE32-E72D297353CC}">
              <c16:uniqueId val="{00000000-DD84-49C8-86B2-D8D225A9F284}"/>
            </c:ext>
          </c:extLst>
        </c:ser>
        <c:dLbls>
          <c:dLblPos val="t"/>
          <c:showLegendKey val="0"/>
          <c:showVal val="1"/>
          <c:showCatName val="0"/>
          <c:showSerName val="0"/>
          <c:showPercent val="0"/>
          <c:showBubbleSize val="0"/>
        </c:dLbls>
        <c:smooth val="0"/>
        <c:axId val="950984640"/>
        <c:axId val="620154224"/>
      </c:lineChart>
      <c:catAx>
        <c:axId val="9509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54224"/>
        <c:crosses val="autoZero"/>
        <c:auto val="1"/>
        <c:lblAlgn val="ctr"/>
        <c:lblOffset val="100"/>
        <c:noMultiLvlLbl val="0"/>
      </c:catAx>
      <c:valAx>
        <c:axId val="6201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 Data'!$N$2</c:f>
              <c:strCache>
                <c:ptCount val="1"/>
                <c:pt idx="0">
                  <c:v>Revenue</c:v>
                </c:pt>
              </c:strCache>
            </c:strRef>
          </c:tx>
          <c:spPr>
            <a:solidFill>
              <a:schemeClr val="accent1"/>
            </a:solidFill>
            <a:ln>
              <a:noFill/>
            </a:ln>
            <a:effectLst/>
          </c:spPr>
          <c:invertIfNegative val="0"/>
          <c:cat>
            <c:strRef>
              <c:f>'Charts Data'!$M$3:$M$8</c:f>
              <c:strCache>
                <c:ptCount val="6"/>
                <c:pt idx="0">
                  <c:v>Jan</c:v>
                </c:pt>
                <c:pt idx="1">
                  <c:v>Feb</c:v>
                </c:pt>
                <c:pt idx="2">
                  <c:v>Mar</c:v>
                </c:pt>
                <c:pt idx="3">
                  <c:v>Apr</c:v>
                </c:pt>
                <c:pt idx="4">
                  <c:v>May</c:v>
                </c:pt>
                <c:pt idx="5">
                  <c:v>Jun</c:v>
                </c:pt>
              </c:strCache>
            </c:strRef>
          </c:cat>
          <c:val>
            <c:numRef>
              <c:f>'Charts Data'!$N$3:$N$8</c:f>
              <c:numCache>
                <c:formatCode>General</c:formatCode>
                <c:ptCount val="6"/>
                <c:pt idx="0">
                  <c:v>12000</c:v>
                </c:pt>
                <c:pt idx="1">
                  <c:v>15000</c:v>
                </c:pt>
                <c:pt idx="2">
                  <c:v>17000</c:v>
                </c:pt>
                <c:pt idx="3">
                  <c:v>18000</c:v>
                </c:pt>
                <c:pt idx="4">
                  <c:v>22000</c:v>
                </c:pt>
                <c:pt idx="5">
                  <c:v>25000</c:v>
                </c:pt>
              </c:numCache>
            </c:numRef>
          </c:val>
          <c:extLst>
            <c:ext xmlns:c16="http://schemas.microsoft.com/office/drawing/2014/chart" uri="{C3380CC4-5D6E-409C-BE32-E72D297353CC}">
              <c16:uniqueId val="{00000000-6807-4D4B-850E-00DE535C05B1}"/>
            </c:ext>
          </c:extLst>
        </c:ser>
        <c:dLbls>
          <c:showLegendKey val="0"/>
          <c:showVal val="0"/>
          <c:showCatName val="0"/>
          <c:showSerName val="0"/>
          <c:showPercent val="0"/>
          <c:showBubbleSize val="0"/>
        </c:dLbls>
        <c:gapWidth val="150"/>
        <c:axId val="829063152"/>
        <c:axId val="620145104"/>
      </c:barChart>
      <c:lineChart>
        <c:grouping val="standard"/>
        <c:varyColors val="0"/>
        <c:ser>
          <c:idx val="1"/>
          <c:order val="1"/>
          <c:tx>
            <c:strRef>
              <c:f>'Charts Data'!$O$2</c:f>
              <c:strCache>
                <c:ptCount val="1"/>
                <c:pt idx="0">
                  <c:v>Profit</c:v>
                </c:pt>
              </c:strCache>
            </c:strRef>
          </c:tx>
          <c:spPr>
            <a:ln w="28575" cap="rnd">
              <a:solidFill>
                <a:schemeClr val="accent2"/>
              </a:solidFill>
              <a:round/>
            </a:ln>
            <a:effectLst/>
          </c:spPr>
          <c:marker>
            <c:symbol val="none"/>
          </c:marker>
          <c:cat>
            <c:strRef>
              <c:f>'Charts Data'!$M$3:$M$8</c:f>
              <c:strCache>
                <c:ptCount val="6"/>
                <c:pt idx="0">
                  <c:v>Jan</c:v>
                </c:pt>
                <c:pt idx="1">
                  <c:v>Feb</c:v>
                </c:pt>
                <c:pt idx="2">
                  <c:v>Mar</c:v>
                </c:pt>
                <c:pt idx="3">
                  <c:v>Apr</c:v>
                </c:pt>
                <c:pt idx="4">
                  <c:v>May</c:v>
                </c:pt>
                <c:pt idx="5">
                  <c:v>Jun</c:v>
                </c:pt>
              </c:strCache>
            </c:strRef>
          </c:cat>
          <c:val>
            <c:numRef>
              <c:f>'Charts Data'!$O$3:$O$8</c:f>
              <c:numCache>
                <c:formatCode>General</c:formatCode>
                <c:ptCount val="6"/>
                <c:pt idx="0">
                  <c:v>2200</c:v>
                </c:pt>
                <c:pt idx="1">
                  <c:v>3100</c:v>
                </c:pt>
                <c:pt idx="2">
                  <c:v>3600</c:v>
                </c:pt>
                <c:pt idx="3">
                  <c:v>4100</c:v>
                </c:pt>
                <c:pt idx="4">
                  <c:v>5200</c:v>
                </c:pt>
                <c:pt idx="5">
                  <c:v>6100</c:v>
                </c:pt>
              </c:numCache>
            </c:numRef>
          </c:val>
          <c:smooth val="0"/>
          <c:extLst>
            <c:ext xmlns:c16="http://schemas.microsoft.com/office/drawing/2014/chart" uri="{C3380CC4-5D6E-409C-BE32-E72D297353CC}">
              <c16:uniqueId val="{00000001-6807-4D4B-850E-00DE535C05B1}"/>
            </c:ext>
          </c:extLst>
        </c:ser>
        <c:dLbls>
          <c:showLegendKey val="0"/>
          <c:showVal val="0"/>
          <c:showCatName val="0"/>
          <c:showSerName val="0"/>
          <c:showPercent val="0"/>
          <c:showBubbleSize val="0"/>
        </c:dLbls>
        <c:marker val="1"/>
        <c:smooth val="0"/>
        <c:axId val="829063152"/>
        <c:axId val="620145104"/>
      </c:lineChart>
      <c:catAx>
        <c:axId val="82906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45104"/>
        <c:crosses val="autoZero"/>
        <c:auto val="1"/>
        <c:lblAlgn val="ctr"/>
        <c:lblOffset val="100"/>
        <c:noMultiLvlLbl val="0"/>
      </c:catAx>
      <c:valAx>
        <c:axId val="62014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6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xdr:col>
      <xdr:colOff>190500</xdr:colOff>
      <xdr:row>0</xdr:row>
      <xdr:rowOff>121921</xdr:rowOff>
    </xdr:from>
    <xdr:to>
      <xdr:col>10</xdr:col>
      <xdr:colOff>0</xdr:colOff>
      <xdr:row>5</xdr:row>
      <xdr:rowOff>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6D048984-75CD-942D-3F3A-37993E549B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28900" y="121921"/>
              <a:ext cx="3970020" cy="79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251460</xdr:colOff>
      <xdr:row>0</xdr:row>
      <xdr:rowOff>108585</xdr:rowOff>
    </xdr:from>
    <xdr:to>
      <xdr:col>15</xdr:col>
      <xdr:colOff>0</xdr:colOff>
      <xdr:row>6</xdr:row>
      <xdr:rowOff>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D0E950D8-B8BE-4735-060B-D5B11A08F74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50380" y="108585"/>
              <a:ext cx="2796540" cy="988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60960</xdr:rowOff>
    </xdr:from>
    <xdr:to>
      <xdr:col>20</xdr:col>
      <xdr:colOff>289560</xdr:colOff>
      <xdr:row>7</xdr:row>
      <xdr:rowOff>152400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38BDEE95-9CDB-8509-4815-7854E134AEE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646920" y="609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22860</xdr:colOff>
      <xdr:row>7</xdr:row>
      <xdr:rowOff>22860</xdr:rowOff>
    </xdr:from>
    <xdr:to>
      <xdr:col>9</xdr:col>
      <xdr:colOff>502920</xdr:colOff>
      <xdr:row>17</xdr:row>
      <xdr:rowOff>144780</xdr:rowOff>
    </xdr:to>
    <xdr:graphicFrame macro="">
      <xdr:nvGraphicFramePr>
        <xdr:cNvPr id="7" name="Chart 6">
          <a:extLst>
            <a:ext uri="{FF2B5EF4-FFF2-40B4-BE49-F238E27FC236}">
              <a16:creationId xmlns:a16="http://schemas.microsoft.com/office/drawing/2014/main" id="{BCDFAB23-D259-4D61-862D-6C8506972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5</xdr:col>
      <xdr:colOff>0</xdr:colOff>
      <xdr:row>20</xdr:row>
      <xdr:rowOff>0</xdr:rowOff>
    </xdr:to>
    <xdr:graphicFrame macro="">
      <xdr:nvGraphicFramePr>
        <xdr:cNvPr id="2" name="Chart 1">
          <a:extLst>
            <a:ext uri="{FF2B5EF4-FFF2-40B4-BE49-F238E27FC236}">
              <a16:creationId xmlns:a16="http://schemas.microsoft.com/office/drawing/2014/main" id="{C8859763-9A94-4272-90A6-A439D101A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14</xdr:row>
      <xdr:rowOff>68580</xdr:rowOff>
    </xdr:from>
    <xdr:to>
      <xdr:col>11</xdr:col>
      <xdr:colOff>0</xdr:colOff>
      <xdr:row>26</xdr:row>
      <xdr:rowOff>144780</xdr:rowOff>
    </xdr:to>
    <xdr:graphicFrame macro="">
      <xdr:nvGraphicFramePr>
        <xdr:cNvPr id="3" name="Chart 2">
          <a:extLst>
            <a:ext uri="{FF2B5EF4-FFF2-40B4-BE49-F238E27FC236}">
              <a16:creationId xmlns:a16="http://schemas.microsoft.com/office/drawing/2014/main" id="{BE2DA3F4-3409-4D1A-BDAC-A7AE04A9A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9</xdr:row>
      <xdr:rowOff>0</xdr:rowOff>
    </xdr:from>
    <xdr:to>
      <xdr:col>18</xdr:col>
      <xdr:colOff>304800</xdr:colOff>
      <xdr:row>24</xdr:row>
      <xdr:rowOff>0</xdr:rowOff>
    </xdr:to>
    <xdr:graphicFrame macro="">
      <xdr:nvGraphicFramePr>
        <xdr:cNvPr id="4" name="Chart 3">
          <a:extLst>
            <a:ext uri="{FF2B5EF4-FFF2-40B4-BE49-F238E27FC236}">
              <a16:creationId xmlns:a16="http://schemas.microsoft.com/office/drawing/2014/main" id="{37D63039-3782-4377-B979-E110CD19D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xdr:row>
      <xdr:rowOff>0</xdr:rowOff>
    </xdr:from>
    <xdr:to>
      <xdr:col>22</xdr:col>
      <xdr:colOff>0</xdr:colOff>
      <xdr:row>13</xdr:row>
      <xdr:rowOff>0</xdr:rowOff>
    </xdr:to>
    <xdr:graphicFrame macro="">
      <xdr:nvGraphicFramePr>
        <xdr:cNvPr id="5" name="Chart 4">
          <a:extLst>
            <a:ext uri="{FF2B5EF4-FFF2-40B4-BE49-F238E27FC236}">
              <a16:creationId xmlns:a16="http://schemas.microsoft.com/office/drawing/2014/main" id="{7146F3B2-C77B-41ED-A215-2850B7D3B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121920</xdr:colOff>
      <xdr:row>7</xdr:row>
      <xdr:rowOff>30480</xdr:rowOff>
    </xdr:from>
    <xdr:to>
      <xdr:col>8</xdr:col>
      <xdr:colOff>350520</xdr:colOff>
      <xdr:row>18</xdr:row>
      <xdr:rowOff>53340</xdr:rowOff>
    </xdr:to>
    <xdr:graphicFrame macro="">
      <xdr:nvGraphicFramePr>
        <xdr:cNvPr id="2" name="Chart 1">
          <a:extLst>
            <a:ext uri="{FF2B5EF4-FFF2-40B4-BE49-F238E27FC236}">
              <a16:creationId xmlns:a16="http://schemas.microsoft.com/office/drawing/2014/main" id="{EAC3D231-C272-4465-9413-DFF54F4AF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6</xdr:row>
      <xdr:rowOff>167640</xdr:rowOff>
    </xdr:from>
    <xdr:to>
      <xdr:col>14</xdr:col>
      <xdr:colOff>441960</xdr:colOff>
      <xdr:row>18</xdr:row>
      <xdr:rowOff>144780</xdr:rowOff>
    </xdr:to>
    <xdr:graphicFrame macro="">
      <xdr:nvGraphicFramePr>
        <xdr:cNvPr id="3" name="Chart 2">
          <a:extLst>
            <a:ext uri="{FF2B5EF4-FFF2-40B4-BE49-F238E27FC236}">
              <a16:creationId xmlns:a16="http://schemas.microsoft.com/office/drawing/2014/main" id="{AF9E0FA2-059C-488F-8F8C-9B82AC845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19</xdr:row>
      <xdr:rowOff>38100</xdr:rowOff>
    </xdr:from>
    <xdr:to>
      <xdr:col>8</xdr:col>
      <xdr:colOff>335280</xdr:colOff>
      <xdr:row>28</xdr:row>
      <xdr:rowOff>15240</xdr:rowOff>
    </xdr:to>
    <xdr:graphicFrame macro="">
      <xdr:nvGraphicFramePr>
        <xdr:cNvPr id="4" name="Chart 3">
          <a:extLst>
            <a:ext uri="{FF2B5EF4-FFF2-40B4-BE49-F238E27FC236}">
              <a16:creationId xmlns:a16="http://schemas.microsoft.com/office/drawing/2014/main" id="{3C7A6384-4D22-4D74-971D-50320ADF7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525780</xdr:colOff>
      <xdr:row>19</xdr:row>
      <xdr:rowOff>76200</xdr:rowOff>
    </xdr:from>
    <xdr:to>
      <xdr:col>14</xdr:col>
      <xdr:colOff>22860</xdr:colOff>
      <xdr:row>28</xdr:row>
      <xdr:rowOff>7620</xdr:rowOff>
    </xdr:to>
    <xdr:graphicFrame macro="">
      <xdr:nvGraphicFramePr>
        <xdr:cNvPr id="5" name="Chart 4">
          <a:extLst>
            <a:ext uri="{FF2B5EF4-FFF2-40B4-BE49-F238E27FC236}">
              <a16:creationId xmlns:a16="http://schemas.microsoft.com/office/drawing/2014/main" id="{82524CFB-F294-49FB-9732-4B3AF73D2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457200</xdr:colOff>
      <xdr:row>2</xdr:row>
      <xdr:rowOff>114300</xdr:rowOff>
    </xdr:from>
    <xdr:to>
      <xdr:col>5</xdr:col>
      <xdr:colOff>388620</xdr:colOff>
      <xdr:row>6</xdr:row>
      <xdr:rowOff>99059</xdr:rowOff>
    </xdr:to>
    <mc:AlternateContent xmlns:mc="http://schemas.openxmlformats.org/markup-compatibility/2006">
      <mc:Choice xmlns:a14="http://schemas.microsoft.com/office/drawing/2010/main" Requires="a14">
        <xdr:graphicFrame macro="">
          <xdr:nvGraphicFramePr>
            <xdr:cNvPr id="6" name="Months (Order Date)">
              <a:extLst>
                <a:ext uri="{FF2B5EF4-FFF2-40B4-BE49-F238E27FC236}">
                  <a16:creationId xmlns:a16="http://schemas.microsoft.com/office/drawing/2014/main" id="{0BA7E77E-D5D2-38AA-C0DA-427F27705273}"/>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066800" y="480060"/>
              <a:ext cx="2369820"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541020</xdr:colOff>
      <xdr:row>2</xdr:row>
      <xdr:rowOff>53341</xdr:rowOff>
    </xdr:from>
    <xdr:to>
      <xdr:col>12</xdr:col>
      <xdr:colOff>320040</xdr:colOff>
      <xdr:row>6</xdr:row>
      <xdr:rowOff>83821</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5A742B5F-5BDE-970A-3795-29ACB17EE8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589020" y="419101"/>
              <a:ext cx="404622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0</xdr:rowOff>
    </xdr:from>
    <xdr:to>
      <xdr:col>5</xdr:col>
      <xdr:colOff>0</xdr:colOff>
      <xdr:row>20</xdr:row>
      <xdr:rowOff>0</xdr:rowOff>
    </xdr:to>
    <xdr:graphicFrame macro="">
      <xdr:nvGraphicFramePr>
        <xdr:cNvPr id="2" name="Chart 1">
          <a:extLst>
            <a:ext uri="{FF2B5EF4-FFF2-40B4-BE49-F238E27FC236}">
              <a16:creationId xmlns:a16="http://schemas.microsoft.com/office/drawing/2014/main" id="{EE43EA6B-5DE9-4747-DAE2-4FD44C8F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14</xdr:row>
      <xdr:rowOff>68580</xdr:rowOff>
    </xdr:from>
    <xdr:to>
      <xdr:col>11</xdr:col>
      <xdr:colOff>0</xdr:colOff>
      <xdr:row>26</xdr:row>
      <xdr:rowOff>144780</xdr:rowOff>
    </xdr:to>
    <xdr:graphicFrame macro="">
      <xdr:nvGraphicFramePr>
        <xdr:cNvPr id="3" name="Chart 2">
          <a:extLst>
            <a:ext uri="{FF2B5EF4-FFF2-40B4-BE49-F238E27FC236}">
              <a16:creationId xmlns:a16="http://schemas.microsoft.com/office/drawing/2014/main" id="{BACBC1B1-7F47-10FF-3DDB-F8E566CFB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9</xdr:row>
      <xdr:rowOff>0</xdr:rowOff>
    </xdr:from>
    <xdr:to>
      <xdr:col>18</xdr:col>
      <xdr:colOff>304800</xdr:colOff>
      <xdr:row>24</xdr:row>
      <xdr:rowOff>0</xdr:rowOff>
    </xdr:to>
    <xdr:graphicFrame macro="">
      <xdr:nvGraphicFramePr>
        <xdr:cNvPr id="4" name="Chart 3">
          <a:extLst>
            <a:ext uri="{FF2B5EF4-FFF2-40B4-BE49-F238E27FC236}">
              <a16:creationId xmlns:a16="http://schemas.microsoft.com/office/drawing/2014/main" id="{8592BB3A-62A3-4F34-AAA0-24D10BAA9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0</xdr:colOff>
      <xdr:row>1</xdr:row>
      <xdr:rowOff>0</xdr:rowOff>
    </xdr:from>
    <xdr:to>
      <xdr:col>22</xdr:col>
      <xdr:colOff>0</xdr:colOff>
      <xdr:row>13</xdr:row>
      <xdr:rowOff>0</xdr:rowOff>
    </xdr:to>
    <xdr:graphicFrame macro="">
      <xdr:nvGraphicFramePr>
        <xdr:cNvPr id="5" name="Chart 4">
          <a:extLst>
            <a:ext uri="{FF2B5EF4-FFF2-40B4-BE49-F238E27FC236}">
              <a16:creationId xmlns:a16="http://schemas.microsoft.com/office/drawing/2014/main" id="{7E02348B-9280-9E95-C18E-DD23657D2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3.358628009257" createdVersion="8" refreshedVersion="8" minRefreshableVersion="3" recordCount="101" xr:uid="{D8A5E036-185A-4548-9B3A-5F6C9A158956}">
  <cacheSource type="worksheet">
    <worksheetSource name="Table5"/>
  </cacheSource>
  <cacheFields count="10">
    <cacheField name="Order Date" numFmtId="165">
      <sharedItems containsSemiMixedTypes="0" containsNonDate="0" containsDate="1" containsString="0" minDate="2025-01-02T00:00:00" maxDate="2025-04-03T00:00:00" count="58">
        <d v="2025-02-12T00:00:00"/>
        <d v="2025-03-11T00:00:00"/>
        <d v="2025-01-06T00:00:00"/>
        <d v="2025-02-01T00:00:00"/>
        <d v="2025-01-30T00:00:00"/>
        <d v="2025-01-07T00:00:00"/>
        <d v="2025-03-12T00:00:00"/>
        <d v="2025-03-17T00:00:00"/>
        <d v="2025-03-15T00:00:00"/>
        <d v="2025-02-11T00:00:00"/>
        <d v="2025-02-02T00:00:00"/>
        <d v="2025-03-10T00:00:00"/>
        <d v="2025-03-20T00:00:00"/>
        <d v="2025-02-14T00:00:00"/>
        <d v="2025-03-28T00:00:00"/>
        <d v="2025-03-19T00:00:00"/>
        <d v="2025-02-05T00:00:00"/>
        <d v="2025-03-25T00:00:00"/>
        <d v="2025-01-04T00:00:00"/>
        <d v="2025-03-06T00:00:00"/>
        <d v="2025-01-23T00:00:00"/>
        <d v="2025-02-26T00:00:00"/>
        <d v="2025-01-31T00:00:00"/>
        <d v="2025-02-04T00:00:00"/>
        <d v="2025-03-01T00:00:00"/>
        <d v="2025-01-15T00:00:00"/>
        <d v="2025-01-10T00:00:00"/>
        <d v="2025-01-28T00:00:00"/>
        <d v="2025-03-05T00:00:00"/>
        <d v="2025-01-12T00:00:00"/>
        <d v="2025-03-04T00:00:00"/>
        <d v="2025-01-20T00:00:00"/>
        <d v="2025-03-09T00:00:00"/>
        <d v="2025-02-22T00:00:00"/>
        <d v="2025-01-05T00:00:00"/>
        <d v="2025-01-26T00:00:00"/>
        <d v="2025-01-27T00:00:00"/>
        <d v="2025-01-13T00:00:00"/>
        <d v="2025-01-22T00:00:00"/>
        <d v="2025-03-18T00:00:00"/>
        <d v="2025-01-21T00:00:00"/>
        <d v="2025-01-09T00:00:00"/>
        <d v="2025-03-03T00:00:00"/>
        <d v="2025-02-27T00:00:00"/>
        <d v="2025-03-08T00:00:00"/>
        <d v="2025-02-28T00:00:00"/>
        <d v="2025-01-11T00:00:00"/>
        <d v="2025-03-02T00:00:00"/>
        <d v="2025-01-08T00:00:00"/>
        <d v="2025-01-03T00:00:00"/>
        <d v="2025-03-07T00:00:00"/>
        <d v="2025-01-18T00:00:00"/>
        <d v="2025-01-25T00:00:00"/>
        <d v="2025-01-02T00:00:00"/>
        <d v="2025-02-06T00:00:00"/>
        <d v="2025-02-21T00:00:00"/>
        <d v="2025-04-01T00:00:00"/>
        <d v="2025-04-02T00:00:00"/>
      </sharedItems>
      <fieldGroup par="9"/>
    </cacheField>
    <cacheField name="Region" numFmtId="0">
      <sharedItems count="4">
        <s v="North"/>
        <s v="West"/>
        <s v="South"/>
        <s v="East"/>
      </sharedItems>
    </cacheField>
    <cacheField name="Sales Person Name" numFmtId="0">
      <sharedItems count="20">
        <s v="AKSHAY SUNKARI"/>
        <s v="Anvesh Hirve"/>
        <s v="ATLURI CHARITHA SRI"/>
        <s v="B Ramakrishna"/>
        <s v="Bhavana Koneti"/>
        <s v="_x0009_Brijesh Mali"/>
        <s v="Chandana Peddapelly"/>
        <s v="Dinesh Kumar Bolla"/>
        <s v="J Sujay"/>
        <s v="Karrola Nagaraju"/>
        <s v="Lalam Satyanarayana"/>
        <s v="Naveen Shivakoti"/>
        <s v="rudra premkumar"/>
        <s v="Samiksha Moharana"/>
        <s v="Shivaprathap Singiri"/>
        <s v="Shriya Mechineni"/>
        <s v="Siri Mandadapu"/>
        <s v="SLVSNTejaswi-kota"/>
        <s v="suma sri priya"/>
        <s v="Thejaswini Padurthi"/>
      </sharedItems>
    </cacheField>
    <cacheField name="Product" numFmtId="0">
      <sharedItems count="8">
        <s v="Keyboard"/>
        <s v="Monitor"/>
        <s v="Laptop"/>
        <s v="Mouse"/>
        <s v="Headset"/>
        <s v="Chair"/>
        <s v="Printer"/>
        <s v="Desk"/>
      </sharedItems>
    </cacheField>
    <cacheField name="Category" numFmtId="0">
      <sharedItems count="4">
        <s v="Accessories"/>
        <s v="Electronics"/>
        <s v="Furniture"/>
        <s v="Office"/>
      </sharedItems>
    </cacheField>
    <cacheField name="Quantity" numFmtId="0">
      <sharedItems containsSemiMixedTypes="0" containsString="0" containsNumber="1" containsInteger="1" minValue="1" maxValue="8"/>
    </cacheField>
    <cacheField name="Unit Price" numFmtId="0">
      <sharedItems containsSemiMixedTypes="0" containsString="0" containsNumber="1" containsInteger="1" minValue="25" maxValue="900"/>
    </cacheField>
    <cacheField name="Sales" numFmtId="0">
      <sharedItems containsSemiMixedTypes="0" containsString="0" containsNumber="1" containsInteger="1" minValue="25" maxValue="6300"/>
    </cacheField>
    <cacheField name="Months (Order Date)" numFmtId="0" databaseField="0">
      <fieldGroup base="0">
        <rangePr groupBy="months" startDate="2025-01-02T00:00:00" endDate="2025-04-03T00:00:00"/>
        <groupItems count="14">
          <s v="&lt;1/2/2025"/>
          <s v="Jan"/>
          <s v="Feb"/>
          <s v="Mar"/>
          <s v="Apr"/>
          <s v="May"/>
          <s v="Jun"/>
          <s v="Jul"/>
          <s v="Aug"/>
          <s v="Sep"/>
          <s v="Oct"/>
          <s v="Nov"/>
          <s v="Dec"/>
          <s v="&gt;4/3/2025"/>
        </groupItems>
      </fieldGroup>
    </cacheField>
    <cacheField name="Quarters (Order Date)" numFmtId="0" databaseField="0">
      <fieldGroup base="0">
        <rangePr groupBy="quarters" startDate="2025-01-02T00:00:00" endDate="2025-04-03T00:00:00"/>
        <groupItems count="6">
          <s v="&lt;1/2/2025"/>
          <s v="Qtr1"/>
          <s v="Qtr2"/>
          <s v="Qtr3"/>
          <s v="Qtr4"/>
          <s v="&gt;4/3/2025"/>
        </groupItems>
      </fieldGroup>
    </cacheField>
  </cacheFields>
  <extLst>
    <ext xmlns:x14="http://schemas.microsoft.com/office/spreadsheetml/2009/9/main" uri="{725AE2AE-9491-48be-B2B4-4EB974FC3084}">
      <x14:pivotCacheDefinition pivotCacheId="729951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n v="7"/>
    <n v="45"/>
    <n v="315"/>
  </r>
  <r>
    <x v="1"/>
    <x v="0"/>
    <x v="1"/>
    <x v="1"/>
    <x v="1"/>
    <n v="6"/>
    <n v="350"/>
    <n v="2100"/>
  </r>
  <r>
    <x v="2"/>
    <x v="1"/>
    <x v="2"/>
    <x v="1"/>
    <x v="1"/>
    <n v="7"/>
    <n v="350"/>
    <n v="2450"/>
  </r>
  <r>
    <x v="3"/>
    <x v="0"/>
    <x v="3"/>
    <x v="1"/>
    <x v="1"/>
    <n v="7"/>
    <n v="350"/>
    <n v="2450"/>
  </r>
  <r>
    <x v="4"/>
    <x v="0"/>
    <x v="4"/>
    <x v="2"/>
    <x v="1"/>
    <n v="7"/>
    <n v="900"/>
    <n v="6300"/>
  </r>
  <r>
    <x v="5"/>
    <x v="1"/>
    <x v="5"/>
    <x v="0"/>
    <x v="0"/>
    <n v="5"/>
    <n v="45"/>
    <n v="225"/>
  </r>
  <r>
    <x v="6"/>
    <x v="2"/>
    <x v="6"/>
    <x v="1"/>
    <x v="1"/>
    <n v="5"/>
    <n v="350"/>
    <n v="1750"/>
  </r>
  <r>
    <x v="7"/>
    <x v="0"/>
    <x v="7"/>
    <x v="3"/>
    <x v="0"/>
    <n v="6"/>
    <n v="25"/>
    <n v="150"/>
  </r>
  <r>
    <x v="8"/>
    <x v="1"/>
    <x v="8"/>
    <x v="2"/>
    <x v="1"/>
    <n v="4"/>
    <n v="900"/>
    <n v="3600"/>
  </r>
  <r>
    <x v="9"/>
    <x v="3"/>
    <x v="9"/>
    <x v="4"/>
    <x v="0"/>
    <n v="8"/>
    <n v="80"/>
    <n v="640"/>
  </r>
  <r>
    <x v="10"/>
    <x v="0"/>
    <x v="10"/>
    <x v="0"/>
    <x v="0"/>
    <n v="4"/>
    <n v="45"/>
    <n v="180"/>
  </r>
  <r>
    <x v="11"/>
    <x v="1"/>
    <x v="11"/>
    <x v="4"/>
    <x v="0"/>
    <n v="6"/>
    <n v="80"/>
    <n v="480"/>
  </r>
  <r>
    <x v="12"/>
    <x v="1"/>
    <x v="12"/>
    <x v="1"/>
    <x v="1"/>
    <n v="2"/>
    <n v="350"/>
    <n v="700"/>
  </r>
  <r>
    <x v="13"/>
    <x v="1"/>
    <x v="13"/>
    <x v="0"/>
    <x v="0"/>
    <n v="8"/>
    <n v="45"/>
    <n v="360"/>
  </r>
  <r>
    <x v="14"/>
    <x v="3"/>
    <x v="14"/>
    <x v="1"/>
    <x v="1"/>
    <n v="6"/>
    <n v="350"/>
    <n v="2100"/>
  </r>
  <r>
    <x v="15"/>
    <x v="0"/>
    <x v="15"/>
    <x v="4"/>
    <x v="0"/>
    <n v="8"/>
    <n v="80"/>
    <n v="640"/>
  </r>
  <r>
    <x v="16"/>
    <x v="0"/>
    <x v="16"/>
    <x v="4"/>
    <x v="0"/>
    <n v="2"/>
    <n v="80"/>
    <n v="160"/>
  </r>
  <r>
    <x v="17"/>
    <x v="1"/>
    <x v="17"/>
    <x v="4"/>
    <x v="0"/>
    <n v="5"/>
    <n v="80"/>
    <n v="400"/>
  </r>
  <r>
    <x v="18"/>
    <x v="2"/>
    <x v="18"/>
    <x v="4"/>
    <x v="0"/>
    <n v="6"/>
    <n v="80"/>
    <n v="480"/>
  </r>
  <r>
    <x v="19"/>
    <x v="3"/>
    <x v="19"/>
    <x v="2"/>
    <x v="1"/>
    <n v="4"/>
    <n v="900"/>
    <n v="3600"/>
  </r>
  <r>
    <x v="10"/>
    <x v="1"/>
    <x v="0"/>
    <x v="5"/>
    <x v="2"/>
    <n v="7"/>
    <n v="120"/>
    <n v="840"/>
  </r>
  <r>
    <x v="20"/>
    <x v="3"/>
    <x v="1"/>
    <x v="4"/>
    <x v="0"/>
    <n v="7"/>
    <n v="80"/>
    <n v="560"/>
  </r>
  <r>
    <x v="21"/>
    <x v="3"/>
    <x v="2"/>
    <x v="6"/>
    <x v="3"/>
    <n v="7"/>
    <n v="220"/>
    <n v="1540"/>
  </r>
  <r>
    <x v="22"/>
    <x v="2"/>
    <x v="3"/>
    <x v="0"/>
    <x v="0"/>
    <n v="2"/>
    <n v="45"/>
    <n v="90"/>
  </r>
  <r>
    <x v="22"/>
    <x v="1"/>
    <x v="4"/>
    <x v="3"/>
    <x v="0"/>
    <n v="1"/>
    <n v="25"/>
    <n v="25"/>
  </r>
  <r>
    <x v="23"/>
    <x v="2"/>
    <x v="5"/>
    <x v="6"/>
    <x v="3"/>
    <n v="1"/>
    <n v="220"/>
    <n v="220"/>
  </r>
  <r>
    <x v="1"/>
    <x v="2"/>
    <x v="6"/>
    <x v="7"/>
    <x v="2"/>
    <n v="6"/>
    <n v="300"/>
    <n v="1800"/>
  </r>
  <r>
    <x v="24"/>
    <x v="1"/>
    <x v="7"/>
    <x v="5"/>
    <x v="2"/>
    <n v="7"/>
    <n v="120"/>
    <n v="840"/>
  </r>
  <r>
    <x v="25"/>
    <x v="0"/>
    <x v="8"/>
    <x v="4"/>
    <x v="0"/>
    <n v="7"/>
    <n v="80"/>
    <n v="560"/>
  </r>
  <r>
    <x v="26"/>
    <x v="2"/>
    <x v="9"/>
    <x v="3"/>
    <x v="0"/>
    <n v="8"/>
    <n v="25"/>
    <n v="200"/>
  </r>
  <r>
    <x v="13"/>
    <x v="0"/>
    <x v="10"/>
    <x v="2"/>
    <x v="1"/>
    <n v="2"/>
    <n v="900"/>
    <n v="1800"/>
  </r>
  <r>
    <x v="1"/>
    <x v="0"/>
    <x v="11"/>
    <x v="1"/>
    <x v="1"/>
    <n v="6"/>
    <n v="350"/>
    <n v="2100"/>
  </r>
  <r>
    <x v="27"/>
    <x v="3"/>
    <x v="12"/>
    <x v="5"/>
    <x v="2"/>
    <n v="3"/>
    <n v="120"/>
    <n v="360"/>
  </r>
  <r>
    <x v="12"/>
    <x v="0"/>
    <x v="13"/>
    <x v="7"/>
    <x v="2"/>
    <n v="8"/>
    <n v="300"/>
    <n v="2400"/>
  </r>
  <r>
    <x v="28"/>
    <x v="1"/>
    <x v="14"/>
    <x v="4"/>
    <x v="0"/>
    <n v="8"/>
    <n v="80"/>
    <n v="640"/>
  </r>
  <r>
    <x v="29"/>
    <x v="3"/>
    <x v="15"/>
    <x v="0"/>
    <x v="0"/>
    <n v="2"/>
    <n v="45"/>
    <n v="90"/>
  </r>
  <r>
    <x v="30"/>
    <x v="2"/>
    <x v="16"/>
    <x v="0"/>
    <x v="0"/>
    <n v="1"/>
    <n v="45"/>
    <n v="45"/>
  </r>
  <r>
    <x v="31"/>
    <x v="0"/>
    <x v="17"/>
    <x v="2"/>
    <x v="1"/>
    <n v="5"/>
    <n v="900"/>
    <n v="4500"/>
  </r>
  <r>
    <x v="32"/>
    <x v="3"/>
    <x v="18"/>
    <x v="7"/>
    <x v="2"/>
    <n v="3"/>
    <n v="300"/>
    <n v="900"/>
  </r>
  <r>
    <x v="1"/>
    <x v="2"/>
    <x v="19"/>
    <x v="7"/>
    <x v="2"/>
    <n v="4"/>
    <n v="300"/>
    <n v="1200"/>
  </r>
  <r>
    <x v="33"/>
    <x v="1"/>
    <x v="0"/>
    <x v="3"/>
    <x v="0"/>
    <n v="4"/>
    <n v="25"/>
    <n v="100"/>
  </r>
  <r>
    <x v="34"/>
    <x v="1"/>
    <x v="1"/>
    <x v="2"/>
    <x v="1"/>
    <n v="5"/>
    <n v="900"/>
    <n v="4500"/>
  </r>
  <r>
    <x v="35"/>
    <x v="3"/>
    <x v="2"/>
    <x v="7"/>
    <x v="2"/>
    <n v="8"/>
    <n v="300"/>
    <n v="2400"/>
  </r>
  <r>
    <x v="29"/>
    <x v="2"/>
    <x v="3"/>
    <x v="3"/>
    <x v="0"/>
    <n v="2"/>
    <n v="25"/>
    <n v="50"/>
  </r>
  <r>
    <x v="36"/>
    <x v="1"/>
    <x v="4"/>
    <x v="7"/>
    <x v="2"/>
    <n v="4"/>
    <n v="300"/>
    <n v="1200"/>
  </r>
  <r>
    <x v="30"/>
    <x v="0"/>
    <x v="5"/>
    <x v="7"/>
    <x v="2"/>
    <n v="2"/>
    <n v="300"/>
    <n v="600"/>
  </r>
  <r>
    <x v="36"/>
    <x v="1"/>
    <x v="6"/>
    <x v="4"/>
    <x v="0"/>
    <n v="3"/>
    <n v="80"/>
    <n v="240"/>
  </r>
  <r>
    <x v="37"/>
    <x v="1"/>
    <x v="7"/>
    <x v="5"/>
    <x v="2"/>
    <n v="8"/>
    <n v="120"/>
    <n v="960"/>
  </r>
  <r>
    <x v="38"/>
    <x v="0"/>
    <x v="8"/>
    <x v="0"/>
    <x v="0"/>
    <n v="3"/>
    <n v="45"/>
    <n v="135"/>
  </r>
  <r>
    <x v="39"/>
    <x v="1"/>
    <x v="9"/>
    <x v="4"/>
    <x v="0"/>
    <n v="3"/>
    <n v="80"/>
    <n v="240"/>
  </r>
  <r>
    <x v="40"/>
    <x v="0"/>
    <x v="10"/>
    <x v="0"/>
    <x v="0"/>
    <n v="1"/>
    <n v="45"/>
    <n v="45"/>
  </r>
  <r>
    <x v="11"/>
    <x v="2"/>
    <x v="11"/>
    <x v="0"/>
    <x v="0"/>
    <n v="7"/>
    <n v="45"/>
    <n v="315"/>
  </r>
  <r>
    <x v="34"/>
    <x v="3"/>
    <x v="12"/>
    <x v="6"/>
    <x v="3"/>
    <n v="4"/>
    <n v="220"/>
    <n v="880"/>
  </r>
  <r>
    <x v="39"/>
    <x v="1"/>
    <x v="13"/>
    <x v="7"/>
    <x v="2"/>
    <n v="5"/>
    <n v="300"/>
    <n v="1500"/>
  </r>
  <r>
    <x v="41"/>
    <x v="1"/>
    <x v="14"/>
    <x v="7"/>
    <x v="2"/>
    <n v="8"/>
    <n v="300"/>
    <n v="2400"/>
  </r>
  <r>
    <x v="1"/>
    <x v="1"/>
    <x v="15"/>
    <x v="0"/>
    <x v="0"/>
    <n v="1"/>
    <n v="45"/>
    <n v="45"/>
  </r>
  <r>
    <x v="12"/>
    <x v="2"/>
    <x v="16"/>
    <x v="2"/>
    <x v="1"/>
    <n v="3"/>
    <n v="900"/>
    <n v="2700"/>
  </r>
  <r>
    <x v="42"/>
    <x v="3"/>
    <x v="17"/>
    <x v="1"/>
    <x v="1"/>
    <n v="1"/>
    <n v="350"/>
    <n v="350"/>
  </r>
  <r>
    <x v="25"/>
    <x v="2"/>
    <x v="18"/>
    <x v="2"/>
    <x v="1"/>
    <n v="4"/>
    <n v="900"/>
    <n v="3600"/>
  </r>
  <r>
    <x v="5"/>
    <x v="0"/>
    <x v="19"/>
    <x v="1"/>
    <x v="1"/>
    <n v="8"/>
    <n v="350"/>
    <n v="2800"/>
  </r>
  <r>
    <x v="43"/>
    <x v="3"/>
    <x v="0"/>
    <x v="7"/>
    <x v="2"/>
    <n v="4"/>
    <n v="300"/>
    <n v="1200"/>
  </r>
  <r>
    <x v="44"/>
    <x v="3"/>
    <x v="1"/>
    <x v="4"/>
    <x v="0"/>
    <n v="4"/>
    <n v="80"/>
    <n v="320"/>
  </r>
  <r>
    <x v="45"/>
    <x v="0"/>
    <x v="2"/>
    <x v="0"/>
    <x v="0"/>
    <n v="7"/>
    <n v="45"/>
    <n v="315"/>
  </r>
  <r>
    <x v="43"/>
    <x v="2"/>
    <x v="3"/>
    <x v="7"/>
    <x v="2"/>
    <n v="2"/>
    <n v="300"/>
    <n v="600"/>
  </r>
  <r>
    <x v="46"/>
    <x v="0"/>
    <x v="4"/>
    <x v="3"/>
    <x v="0"/>
    <n v="5"/>
    <n v="25"/>
    <n v="125"/>
  </r>
  <r>
    <x v="17"/>
    <x v="3"/>
    <x v="5"/>
    <x v="7"/>
    <x v="2"/>
    <n v="3"/>
    <n v="300"/>
    <n v="900"/>
  </r>
  <r>
    <x v="47"/>
    <x v="1"/>
    <x v="6"/>
    <x v="3"/>
    <x v="0"/>
    <n v="2"/>
    <n v="25"/>
    <n v="50"/>
  </r>
  <r>
    <x v="38"/>
    <x v="1"/>
    <x v="7"/>
    <x v="3"/>
    <x v="0"/>
    <n v="3"/>
    <n v="25"/>
    <n v="75"/>
  </r>
  <r>
    <x v="13"/>
    <x v="3"/>
    <x v="8"/>
    <x v="5"/>
    <x v="2"/>
    <n v="4"/>
    <n v="120"/>
    <n v="480"/>
  </r>
  <r>
    <x v="37"/>
    <x v="3"/>
    <x v="9"/>
    <x v="7"/>
    <x v="2"/>
    <n v="1"/>
    <n v="300"/>
    <n v="300"/>
  </r>
  <r>
    <x v="43"/>
    <x v="3"/>
    <x v="10"/>
    <x v="2"/>
    <x v="1"/>
    <n v="7"/>
    <n v="900"/>
    <n v="6300"/>
  </r>
  <r>
    <x v="44"/>
    <x v="2"/>
    <x v="11"/>
    <x v="1"/>
    <x v="1"/>
    <n v="2"/>
    <n v="350"/>
    <n v="700"/>
  </r>
  <r>
    <x v="29"/>
    <x v="0"/>
    <x v="12"/>
    <x v="6"/>
    <x v="3"/>
    <n v="5"/>
    <n v="220"/>
    <n v="1100"/>
  </r>
  <r>
    <x v="16"/>
    <x v="3"/>
    <x v="13"/>
    <x v="0"/>
    <x v="0"/>
    <n v="7"/>
    <n v="45"/>
    <n v="315"/>
  </r>
  <r>
    <x v="40"/>
    <x v="0"/>
    <x v="14"/>
    <x v="4"/>
    <x v="0"/>
    <n v="6"/>
    <n v="80"/>
    <n v="480"/>
  </r>
  <r>
    <x v="41"/>
    <x v="0"/>
    <x v="15"/>
    <x v="0"/>
    <x v="0"/>
    <n v="7"/>
    <n v="45"/>
    <n v="315"/>
  </r>
  <r>
    <x v="18"/>
    <x v="0"/>
    <x v="16"/>
    <x v="1"/>
    <x v="1"/>
    <n v="5"/>
    <n v="350"/>
    <n v="1750"/>
  </r>
  <r>
    <x v="26"/>
    <x v="1"/>
    <x v="17"/>
    <x v="6"/>
    <x v="3"/>
    <n v="2"/>
    <n v="220"/>
    <n v="440"/>
  </r>
  <r>
    <x v="13"/>
    <x v="2"/>
    <x v="18"/>
    <x v="5"/>
    <x v="2"/>
    <n v="5"/>
    <n v="120"/>
    <n v="600"/>
  </r>
  <r>
    <x v="11"/>
    <x v="2"/>
    <x v="19"/>
    <x v="3"/>
    <x v="0"/>
    <n v="2"/>
    <n v="25"/>
    <n v="50"/>
  </r>
  <r>
    <x v="48"/>
    <x v="3"/>
    <x v="0"/>
    <x v="0"/>
    <x v="0"/>
    <n v="4"/>
    <n v="45"/>
    <n v="180"/>
  </r>
  <r>
    <x v="11"/>
    <x v="1"/>
    <x v="1"/>
    <x v="3"/>
    <x v="0"/>
    <n v="5"/>
    <n v="25"/>
    <n v="125"/>
  </r>
  <r>
    <x v="16"/>
    <x v="3"/>
    <x v="2"/>
    <x v="7"/>
    <x v="2"/>
    <n v="1"/>
    <n v="300"/>
    <n v="300"/>
  </r>
  <r>
    <x v="49"/>
    <x v="1"/>
    <x v="3"/>
    <x v="2"/>
    <x v="1"/>
    <n v="4"/>
    <n v="900"/>
    <n v="3600"/>
  </r>
  <r>
    <x v="45"/>
    <x v="1"/>
    <x v="4"/>
    <x v="1"/>
    <x v="1"/>
    <n v="7"/>
    <n v="350"/>
    <n v="2450"/>
  </r>
  <r>
    <x v="50"/>
    <x v="2"/>
    <x v="5"/>
    <x v="6"/>
    <x v="3"/>
    <n v="4"/>
    <n v="220"/>
    <n v="880"/>
  </r>
  <r>
    <x v="36"/>
    <x v="3"/>
    <x v="6"/>
    <x v="0"/>
    <x v="0"/>
    <n v="7"/>
    <n v="45"/>
    <n v="315"/>
  </r>
  <r>
    <x v="51"/>
    <x v="3"/>
    <x v="7"/>
    <x v="2"/>
    <x v="1"/>
    <n v="2"/>
    <n v="900"/>
    <n v="1800"/>
  </r>
  <r>
    <x v="38"/>
    <x v="1"/>
    <x v="8"/>
    <x v="2"/>
    <x v="1"/>
    <n v="2"/>
    <n v="900"/>
    <n v="1800"/>
  </r>
  <r>
    <x v="15"/>
    <x v="0"/>
    <x v="9"/>
    <x v="3"/>
    <x v="0"/>
    <n v="5"/>
    <n v="25"/>
    <n v="125"/>
  </r>
  <r>
    <x v="52"/>
    <x v="1"/>
    <x v="10"/>
    <x v="0"/>
    <x v="0"/>
    <n v="5"/>
    <n v="45"/>
    <n v="225"/>
  </r>
  <r>
    <x v="23"/>
    <x v="3"/>
    <x v="11"/>
    <x v="7"/>
    <x v="2"/>
    <n v="6"/>
    <n v="300"/>
    <n v="1800"/>
  </r>
  <r>
    <x v="2"/>
    <x v="3"/>
    <x v="12"/>
    <x v="6"/>
    <x v="3"/>
    <n v="4"/>
    <n v="220"/>
    <n v="880"/>
  </r>
  <r>
    <x v="53"/>
    <x v="0"/>
    <x v="13"/>
    <x v="7"/>
    <x v="2"/>
    <n v="7"/>
    <n v="300"/>
    <n v="2100"/>
  </r>
  <r>
    <x v="54"/>
    <x v="0"/>
    <x v="14"/>
    <x v="3"/>
    <x v="0"/>
    <n v="4"/>
    <n v="25"/>
    <n v="100"/>
  </r>
  <r>
    <x v="23"/>
    <x v="1"/>
    <x v="15"/>
    <x v="1"/>
    <x v="1"/>
    <n v="3"/>
    <n v="350"/>
    <n v="1050"/>
  </r>
  <r>
    <x v="55"/>
    <x v="3"/>
    <x v="16"/>
    <x v="2"/>
    <x v="1"/>
    <n v="5"/>
    <n v="900"/>
    <n v="4500"/>
  </r>
  <r>
    <x v="29"/>
    <x v="3"/>
    <x v="17"/>
    <x v="0"/>
    <x v="0"/>
    <n v="7"/>
    <n v="45"/>
    <n v="315"/>
  </r>
  <r>
    <x v="40"/>
    <x v="0"/>
    <x v="18"/>
    <x v="6"/>
    <x v="3"/>
    <n v="3"/>
    <n v="220"/>
    <n v="660"/>
  </r>
  <r>
    <x v="56"/>
    <x v="2"/>
    <x v="19"/>
    <x v="0"/>
    <x v="0"/>
    <n v="1"/>
    <n v="45"/>
    <n v="45"/>
  </r>
  <r>
    <x v="57"/>
    <x v="2"/>
    <x v="19"/>
    <x v="0"/>
    <x v="0"/>
    <n v="1"/>
    <n v="100"/>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33325-4BB9-4EBB-9ADC-8A87D102867E}"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Order date">
  <location ref="A4:B6" firstHeaderRow="1" firstDataRow="1" firstDataCol="1" rowPageCount="1" colPageCount="1"/>
  <pivotFields count="10">
    <pivotField numFmtId="165" showAll="0">
      <items count="59">
        <item h="1" x="53"/>
        <item h="1" x="49"/>
        <item h="1" x="18"/>
        <item h="1" x="34"/>
        <item h="1" x="2"/>
        <item x="5"/>
        <item h="1" x="48"/>
        <item h="1" x="41"/>
        <item h="1" x="26"/>
        <item h="1" x="46"/>
        <item h="1" x="29"/>
        <item h="1" x="37"/>
        <item h="1" x="25"/>
        <item h="1" x="51"/>
        <item h="1" x="31"/>
        <item h="1" x="40"/>
        <item h="1" x="38"/>
        <item h="1" x="20"/>
        <item h="1" x="52"/>
        <item h="1" x="35"/>
        <item h="1" x="36"/>
        <item h="1" x="27"/>
        <item h="1" x="4"/>
        <item h="1" x="22"/>
        <item h="1" x="3"/>
        <item h="1" x="10"/>
        <item h="1" x="23"/>
        <item h="1" x="16"/>
        <item h="1" x="54"/>
        <item h="1" x="9"/>
        <item h="1" x="0"/>
        <item h="1" x="13"/>
        <item h="1" x="55"/>
        <item h="1" x="33"/>
        <item h="1" x="21"/>
        <item h="1" x="43"/>
        <item h="1" x="45"/>
        <item h="1" x="24"/>
        <item h="1" x="47"/>
        <item h="1" x="42"/>
        <item h="1" x="30"/>
        <item h="1" x="28"/>
        <item h="1" x="19"/>
        <item h="1" x="50"/>
        <item h="1" x="44"/>
        <item h="1" x="32"/>
        <item h="1" x="11"/>
        <item h="1" x="1"/>
        <item h="1" x="6"/>
        <item h="1" x="8"/>
        <item h="1" x="7"/>
        <item h="1" x="39"/>
        <item h="1" x="15"/>
        <item h="1" x="12"/>
        <item h="1" x="17"/>
        <item h="1" x="14"/>
        <item h="1" x="56"/>
        <item h="1" x="57"/>
        <item t="default"/>
      </items>
    </pivotField>
    <pivotField axis="axisRow" multipleItemSelectionAllowed="1" showAll="0">
      <items count="5">
        <item sd="0" x="3"/>
        <item sd="0" x="0"/>
        <item sd="0" x="2"/>
        <item sd="0" x="1"/>
        <item t="default"/>
      </items>
    </pivotField>
    <pivotField showAll="0" sortType="descending">
      <items count="21">
        <item x="5"/>
        <item x="0"/>
        <item x="1"/>
        <item x="2"/>
        <item x="3"/>
        <item x="4"/>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9">
        <item h="1" x="5"/>
        <item h="1" x="7"/>
        <item h="1" x="4"/>
        <item x="0"/>
        <item h="1" x="2"/>
        <item h="1" x="1"/>
        <item h="1" x="3"/>
        <item h="1" x="6"/>
        <item t="default"/>
      </items>
    </pivotField>
    <pivotField axis="axisPage" multipleItemSelectionAllowed="1" showAll="0">
      <items count="5">
        <item x="0"/>
        <item h="1" x="1"/>
        <item h="1" x="2"/>
        <item h="1"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2">
    <i>
      <x v="3"/>
    </i>
    <i t="grand">
      <x/>
    </i>
  </rowItems>
  <colItems count="1">
    <i/>
  </colItems>
  <pageFields count="1">
    <pageField fld="4" hier="-1"/>
  </pageFields>
  <dataFields count="1">
    <dataField name="Sum of Sales" fld="7" baseField="1"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CA058C-EC49-4E34-8B77-BC49FB1D417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8" firstHeaderRow="1" firstDataRow="1" firstDataCol="1"/>
  <pivotFields count="10">
    <pivotField numFmtId="165" showAll="0">
      <items count="59">
        <item x="53"/>
        <item x="49"/>
        <item x="18"/>
        <item x="34"/>
        <item x="2"/>
        <item x="5"/>
        <item x="48"/>
        <item x="41"/>
        <item x="26"/>
        <item x="46"/>
        <item x="29"/>
        <item x="37"/>
        <item x="25"/>
        <item x="51"/>
        <item x="31"/>
        <item x="40"/>
        <item x="38"/>
        <item x="20"/>
        <item x="52"/>
        <item x="35"/>
        <item x="36"/>
        <item x="27"/>
        <item x="4"/>
        <item x="22"/>
        <item x="3"/>
        <item x="10"/>
        <item x="23"/>
        <item x="16"/>
        <item x="54"/>
        <item x="9"/>
        <item x="0"/>
        <item x="13"/>
        <item x="55"/>
        <item x="33"/>
        <item x="21"/>
        <item x="43"/>
        <item x="45"/>
        <item x="24"/>
        <item x="47"/>
        <item x="42"/>
        <item x="30"/>
        <item x="28"/>
        <item x="19"/>
        <item x="50"/>
        <item x="44"/>
        <item x="32"/>
        <item x="11"/>
        <item x="1"/>
        <item x="6"/>
        <item x="8"/>
        <item x="7"/>
        <item x="39"/>
        <item x="15"/>
        <item x="12"/>
        <item x="17"/>
        <item x="14"/>
        <item x="56"/>
        <item x="57"/>
        <item t="default"/>
      </items>
    </pivotField>
    <pivotField axis="axisRow" showAll="0">
      <items count="5">
        <item x="3"/>
        <item x="0"/>
        <item x="2"/>
        <item x="1"/>
        <item t="default"/>
      </items>
    </pivotField>
    <pivotField showAll="0"/>
    <pivotField showAll="0"/>
    <pivotField showAll="0"/>
    <pivotField showAll="0"/>
    <pivotField showAll="0"/>
    <pivotField dataField="1" showAll="0"/>
    <pivotField showAll="0" defaultSubtotal="0">
      <items count="14">
        <item h="1" x="0"/>
        <item h="1" x="1"/>
        <item x="2"/>
        <item h="1" x="3"/>
        <item h="1" x="4"/>
        <item h="1" x="5"/>
        <item h="1" x="6"/>
        <item h="1" x="7"/>
        <item h="1" x="8"/>
        <item h="1" x="9"/>
        <item h="1" x="10"/>
        <item h="1" x="11"/>
        <item h="1" x="12"/>
        <item h="1" x="13"/>
      </items>
    </pivotField>
    <pivotField showAll="0" defaultSubtotal="0">
      <items count="6">
        <item x="0"/>
        <item x="1"/>
        <item x="2"/>
        <item x="3"/>
        <item x="4"/>
        <item x="5"/>
      </items>
    </pivotField>
  </pivotFields>
  <rowFields count="1">
    <field x="1"/>
  </rowFields>
  <rowItems count="5">
    <i>
      <x/>
    </i>
    <i>
      <x v="1"/>
    </i>
    <i>
      <x v="2"/>
    </i>
    <i>
      <x v="3"/>
    </i>
    <i t="grand">
      <x/>
    </i>
  </rowItems>
  <colItems count="1">
    <i/>
  </colItems>
  <dataFields count="1">
    <dataField name="Average of Sales" fld="7" subtotal="average" baseField="1" baseItem="0"/>
  </dataFields>
  <formats count="4">
    <format dxfId="41">
      <pivotArea collapsedLevelsAreSubtotals="1" fieldPosition="0">
        <references count="1">
          <reference field="1" count="1">
            <x v="0"/>
          </reference>
        </references>
      </pivotArea>
    </format>
    <format dxfId="40">
      <pivotArea collapsedLevelsAreSubtotals="1" fieldPosition="0">
        <references count="1">
          <reference field="1" count="1">
            <x v="1"/>
          </reference>
        </references>
      </pivotArea>
    </format>
    <format dxfId="39">
      <pivotArea collapsedLevelsAreSubtotals="1" fieldPosition="0">
        <references count="1">
          <reference field="1" count="1">
            <x v="2"/>
          </reference>
        </references>
      </pivotArea>
    </format>
    <format dxfId="38">
      <pivotArea collapsedLevelsAreSubtotals="1" fieldPosition="0">
        <references count="1">
          <reference field="1"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96A792-1B22-4949-AF74-3F6AE76AFD6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8" firstHeaderRow="1" firstDataRow="1" firstDataCol="1"/>
  <pivotFields count="10">
    <pivotField numFmtId="165" showAll="0">
      <items count="59">
        <item x="53"/>
        <item x="49"/>
        <item x="18"/>
        <item x="34"/>
        <item x="2"/>
        <item x="5"/>
        <item x="48"/>
        <item x="41"/>
        <item x="26"/>
        <item x="46"/>
        <item x="29"/>
        <item x="37"/>
        <item x="25"/>
        <item x="51"/>
        <item x="31"/>
        <item x="40"/>
        <item x="38"/>
        <item x="20"/>
        <item x="52"/>
        <item x="35"/>
        <item x="36"/>
        <item x="27"/>
        <item x="4"/>
        <item x="22"/>
        <item x="3"/>
        <item x="10"/>
        <item x="23"/>
        <item x="16"/>
        <item x="54"/>
        <item x="9"/>
        <item x="0"/>
        <item x="13"/>
        <item x="55"/>
        <item x="33"/>
        <item x="21"/>
        <item x="43"/>
        <item x="45"/>
        <item x="24"/>
        <item x="47"/>
        <item x="42"/>
        <item x="30"/>
        <item x="28"/>
        <item x="19"/>
        <item x="50"/>
        <item x="44"/>
        <item x="32"/>
        <item x="11"/>
        <item x="1"/>
        <item x="6"/>
        <item x="8"/>
        <item x="7"/>
        <item x="39"/>
        <item x="15"/>
        <item x="12"/>
        <item x="17"/>
        <item x="14"/>
        <item x="56"/>
        <item x="57"/>
        <item t="default"/>
      </items>
    </pivotField>
    <pivotField showAll="0">
      <items count="5">
        <item x="3"/>
        <item x="0"/>
        <item x="2"/>
        <item x="1"/>
        <item t="default"/>
      </items>
    </pivotField>
    <pivotField showAll="0"/>
    <pivotField showAll="0"/>
    <pivotField showAll="0">
      <items count="5">
        <item x="0"/>
        <item x="1"/>
        <item x="2"/>
        <item x="3"/>
        <item t="default"/>
      </items>
    </pivotField>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8"/>
  </rowFields>
  <rowItems count="5">
    <i>
      <x v="1"/>
    </i>
    <i>
      <x v="2"/>
    </i>
    <i>
      <x v="3"/>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C0961C-B668-4072-99A4-77707E5D951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8" firstHeaderRow="1" firstDataRow="1" firstDataCol="1"/>
  <pivotFields count="10">
    <pivotField numFmtId="165" showAll="0">
      <items count="59">
        <item x="53"/>
        <item x="49"/>
        <item x="18"/>
        <item x="34"/>
        <item x="2"/>
        <item x="5"/>
        <item x="48"/>
        <item x="41"/>
        <item x="26"/>
        <item x="46"/>
        <item x="29"/>
        <item x="37"/>
        <item x="25"/>
        <item x="51"/>
        <item x="31"/>
        <item x="40"/>
        <item x="38"/>
        <item x="20"/>
        <item x="52"/>
        <item x="35"/>
        <item x="36"/>
        <item x="27"/>
        <item x="4"/>
        <item x="22"/>
        <item x="3"/>
        <item x="10"/>
        <item x="23"/>
        <item x="16"/>
        <item x="54"/>
        <item x="9"/>
        <item x="0"/>
        <item x="13"/>
        <item x="55"/>
        <item x="33"/>
        <item x="21"/>
        <item x="43"/>
        <item x="45"/>
        <item x="24"/>
        <item x="47"/>
        <item x="42"/>
        <item x="30"/>
        <item x="28"/>
        <item x="19"/>
        <item x="50"/>
        <item x="44"/>
        <item x="32"/>
        <item x="11"/>
        <item x="1"/>
        <item x="6"/>
        <item x="8"/>
        <item x="7"/>
        <item x="39"/>
        <item x="15"/>
        <item x="12"/>
        <item x="17"/>
        <item x="14"/>
        <item x="56"/>
        <item x="57"/>
        <item t="default"/>
      </items>
    </pivotField>
    <pivotField showAll="0">
      <items count="5">
        <item x="3"/>
        <item x="0"/>
        <item x="2"/>
        <item x="1"/>
        <item t="default"/>
      </items>
    </pivotField>
    <pivotField showAll="0"/>
    <pivotField showAll="0"/>
    <pivotField axis="axisRow" showAll="0">
      <items count="5">
        <item x="0"/>
        <item x="1"/>
        <item x="2"/>
        <item x="3"/>
        <item t="default"/>
      </items>
    </pivotField>
    <pivotField showAll="0"/>
    <pivotField showAll="0"/>
    <pivotField dataField="1" showAl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F6F12-EEBC-44C6-8A94-C74FBCD0628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0">
    <pivotField numFmtId="165" showAll="0">
      <items count="59">
        <item x="53"/>
        <item x="49"/>
        <item x="18"/>
        <item x="34"/>
        <item x="2"/>
        <item x="5"/>
        <item x="48"/>
        <item x="41"/>
        <item x="26"/>
        <item x="46"/>
        <item x="29"/>
        <item x="37"/>
        <item x="25"/>
        <item x="51"/>
        <item x="31"/>
        <item x="40"/>
        <item x="38"/>
        <item x="20"/>
        <item x="52"/>
        <item x="35"/>
        <item x="36"/>
        <item x="27"/>
        <item x="4"/>
        <item x="22"/>
        <item x="3"/>
        <item x="10"/>
        <item x="23"/>
        <item x="16"/>
        <item x="54"/>
        <item x="9"/>
        <item x="0"/>
        <item x="13"/>
        <item x="55"/>
        <item x="33"/>
        <item x="21"/>
        <item x="43"/>
        <item x="45"/>
        <item x="24"/>
        <item x="47"/>
        <item x="42"/>
        <item x="30"/>
        <item x="28"/>
        <item x="19"/>
        <item x="50"/>
        <item x="44"/>
        <item x="32"/>
        <item x="11"/>
        <item x="1"/>
        <item x="6"/>
        <item x="8"/>
        <item x="7"/>
        <item x="39"/>
        <item x="15"/>
        <item x="12"/>
        <item x="17"/>
        <item x="14"/>
        <item x="56"/>
        <item x="57"/>
        <item t="default"/>
      </items>
    </pivotField>
    <pivotField axis="axisRow" showAll="0">
      <items count="5">
        <item x="3"/>
        <item x="0"/>
        <item x="2"/>
        <item x="1"/>
        <item t="default"/>
      </items>
    </pivotField>
    <pivotField showAll="0"/>
    <pivotField showAll="0"/>
    <pivotField showAll="0">
      <items count="5">
        <item x="0"/>
        <item h="1" x="1"/>
        <item h="1" x="2"/>
        <item h="1" x="3"/>
        <item t="default"/>
      </items>
    </pivotField>
    <pivotField showAll="0"/>
    <pivotField showAll="0"/>
    <pivotField dataField="1" showAll="0"/>
    <pivotField showAll="0" defaultSubtotal="0"/>
    <pivotField showAll="0" defaultSubtotal="0">
      <items count="6">
        <item x="0"/>
        <item x="1"/>
        <item x="2"/>
        <item x="3"/>
        <item x="4"/>
        <item x="5"/>
      </items>
    </pivotField>
  </pivotFields>
  <rowFields count="1">
    <field x="1"/>
  </rowFields>
  <rowItems count="5">
    <i>
      <x/>
    </i>
    <i>
      <x v="1"/>
    </i>
    <i>
      <x v="2"/>
    </i>
    <i>
      <x v="3"/>
    </i>
    <i t="grand">
      <x/>
    </i>
  </rowItems>
  <colItems count="1">
    <i/>
  </colItems>
  <dataFields count="1">
    <dataField name="Sum of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D9AC64-E210-4EB7-BE3F-40544FF08BFF}" sourceName="Category">
  <pivotTables>
    <pivotTable tabId="12" name="PivotTable5"/>
  </pivotTables>
  <data>
    <tabular pivotCacheId="729951936">
      <items count="4">
        <i x="0" s="1"/>
        <i x="1" nd="1"/>
        <i x="2"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9EBB3D4-0DD5-4CD1-BDB7-0DC0BA5FC255}" sourceName="Product">
  <pivotTables>
    <pivotTable tabId="12" name="PivotTable5"/>
  </pivotTables>
  <data>
    <tabular pivotCacheId="729951936">
      <items count="8">
        <i x="0" s="1"/>
        <i x="5" nd="1"/>
        <i x="7" nd="1"/>
        <i x="4" nd="1"/>
        <i x="2" nd="1"/>
        <i x="1" nd="1"/>
        <i x="3" nd="1"/>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6B28271-B7D2-4EAA-85D4-174481D49D54}" sourceName="Months (Order Date)">
  <pivotTables>
    <pivotTable tabId="14" name="PivotTable4"/>
  </pivotTables>
  <data>
    <tabular pivotCacheId="729951936">
      <items count="14">
        <i x="1"/>
        <i x="2" s="1"/>
        <i x="3"/>
        <i x="4"/>
        <i x="5" nd="1"/>
        <i x="6" nd="1"/>
        <i x="7" nd="1"/>
        <i x="8" nd="1"/>
        <i x="9" nd="1"/>
        <i x="10" nd="1"/>
        <i x="11" nd="1"/>
        <i x="12" nd="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802267C-933F-488F-901A-0C2F14F56D9A}" sourceName="Category">
  <pivotTables>
    <pivotTable tabId="14" name="PivotTable1"/>
  </pivotTables>
  <data>
    <tabular pivotCacheId="729951936">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124A14-BF11-4679-9C69-198C7A424343}" cache="Slicer_Category" caption="Category" columnCount="4" rowHeight="247650"/>
  <slicer name="Product" xr10:uid="{32291E49-A65A-4443-92D9-E4994C9B59D4}" cache="Slicer_Product" caption="Product" columnCoun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A86E3D71-B114-44FA-8FAB-BC10789FFC1C}" cache="Slicer_Months__Order_Date" caption="Months (Order Date)" columnCount="4" rowHeight="247650"/>
  <slicer name="Category 1" xr10:uid="{A964E453-A746-4307-BB20-7634C4AAEFE5}" cache="Slicer_Category1" caption="Category" columnCoun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C832F0-696F-4E2B-96F4-441ADBC753AE}" name="Table3" displayName="Table3" ref="L1:L6" totalsRowShown="0">
  <autoFilter ref="L1:L6" xr:uid="{77C832F0-696F-4E2B-96F4-441ADBC753AE}"/>
  <tableColumns count="1">
    <tableColumn id="1" xr3:uid="{FD0720AD-75E4-4300-A903-BE204C135FE5}" name="Departmen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17EBB9-34A6-49FD-850A-FA01B81EAA84}" name="Table4" displayName="Table4" ref="N1:N5" totalsRowShown="0">
  <autoFilter ref="N1:N5" xr:uid="{7A17EBB9-34A6-49FD-850A-FA01B81EAA84}"/>
  <tableColumns count="1">
    <tableColumn id="1" xr3:uid="{4F750370-9D35-4BA7-9826-976A9029C241}"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6935E0-84D7-4044-89E3-27A4BB2A3173}" name="Table1" displayName="Table1" ref="A1:K102" totalsRowShown="0" headerRowDxfId="55">
  <autoFilter ref="A1:K102" xr:uid="{B66935E0-84D7-4044-89E3-27A4BB2A3173}"/>
  <tableColumns count="11">
    <tableColumn id="1" xr3:uid="{1A9E7220-43B9-4FDF-ACC0-515B8EF647B5}" name="Order Date" dataDxfId="44"/>
    <tableColumn id="2" xr3:uid="{0E9D9F77-03A5-422B-991F-2C949D977313}" name="Region"/>
    <tableColumn id="3" xr3:uid="{66761B92-C5BE-4C0A-ADF0-341CBC38B465}" name="Salesperson"/>
    <tableColumn id="4" xr3:uid="{D04F2D35-1874-4C0F-8099-8951022C1278}" name="Product"/>
    <tableColumn id="5" xr3:uid="{68215A07-D107-41F4-B4B6-CEF095BBFD1A}" name="Category"/>
    <tableColumn id="6" xr3:uid="{7496FCFF-1EEE-4BD7-B973-54701AEC9B3F}" name="Quantity"/>
    <tableColumn id="7" xr3:uid="{4CB4F7BD-A8A7-49FA-94F1-E20596721C3B}" name="Unit Price"/>
    <tableColumn id="8" xr3:uid="{53BDDEAE-7F58-4840-B6F5-282601E63228}" name="Sales"/>
    <tableColumn id="11" xr3:uid="{B416946B-4413-48F3-90C0-CE812F30E851}" name="Month Name" dataDxfId="43">
      <calculatedColumnFormula>TEXT(Table1[[#This Row],[Order Date]],"MMMM")</calculatedColumnFormula>
    </tableColumn>
    <tableColumn id="12" xr3:uid="{FD614B21-E2ED-48AF-905C-3CB2E562C5A4}" name="Column1" dataDxfId="1">
      <calculatedColumnFormula>MONTH(Table1[[#This Row],[Order Date]])</calculatedColumnFormula>
    </tableColumn>
    <tableColumn id="13" xr3:uid="{50720FE4-04EB-42E3-8640-BB592019F35B}" name="Column2" dataDxfId="0">
      <calculatedColumnFormula>TEXT(Table1[[#This Row],[Order Date]],"MMM")</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E54842-6AFD-49BF-8894-7F3F3FD2951A}" name="Table5" displayName="Table5" ref="A1:I102" totalsRowShown="0" headerRowDxfId="54" dataDxfId="53">
  <autoFilter ref="A1:I102" xr:uid="{D7E54842-6AFD-49BF-8894-7F3F3FD2951A}"/>
  <tableColumns count="9">
    <tableColumn id="1" xr3:uid="{B9DC1C87-4253-4753-81E3-A82E044FE84C}" name="Order Date" dataDxfId="52"/>
    <tableColumn id="2" xr3:uid="{77C7C507-988E-4E0B-99A5-69378B026BD4}" name="Region" dataDxfId="51"/>
    <tableColumn id="3" xr3:uid="{0F7A9099-3D81-4602-8482-4D8483A56F57}" name="Sales Person Name" dataDxfId="50"/>
    <tableColumn id="4" xr3:uid="{C28CB2AD-12C8-48D8-8494-A42EF570C46F}" name="Product" dataDxfId="49"/>
    <tableColumn id="5" xr3:uid="{245AA6B9-69EE-4983-8583-8CFD9BE3FBE7}" name="Category" dataDxfId="48"/>
    <tableColumn id="6" xr3:uid="{9086061B-2D11-4CFA-B47A-50D8B2F3ED10}" name="Quantity" dataDxfId="47"/>
    <tableColumn id="7" xr3:uid="{E36F143B-54C0-45B3-AF72-C886C05D7C2F}" name="Unit Price" dataDxfId="46"/>
    <tableColumn id="8" xr3:uid="{FAD0B615-9920-48FD-89A6-A7B286018B66}" name="Sales" dataDxfId="45"/>
    <tableColumn id="9" xr3:uid="{A040E873-A0F4-4FA7-ACD0-9F5771048B8D}" name="MonthName" dataDxfId="42">
      <calculatedColumnFormula>TEXT(Table5[[#This Row],[Order Date]],"MMM")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DAB3A4C-A602-461E-AAC4-C6D617A459F6}" sourceName="Order Date">
  <pivotTables>
    <pivotTable tabId="12" name="PivotTable5"/>
  </pivotTables>
  <state minimalRefreshVersion="6" lastRefreshVersion="6" pivotCacheId="72995193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1385E42-EFC4-40C1-A65F-88B86BC02DB8}" cache="NativeTimeline_Order_Date" caption="Order Date" level="2" selectionLevel="2" scrollPosition="2025-01-01T00:00:00"/>
</timeline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C06D-672A-474E-8DEE-C35399103208}">
  <dimension ref="A1:L21"/>
  <sheetViews>
    <sheetView workbookViewId="0">
      <selection activeCell="B24" sqref="B24"/>
    </sheetView>
  </sheetViews>
  <sheetFormatPr defaultRowHeight="14.4" x14ac:dyDescent="0.3"/>
  <cols>
    <col min="1" max="1" width="17.88671875" customWidth="1"/>
    <col min="2" max="4" width="19.6640625" customWidth="1"/>
    <col min="8" max="8" width="23.33203125" customWidth="1"/>
    <col min="9" max="9" width="21.6640625" customWidth="1"/>
    <col min="10" max="10" width="22.5546875" customWidth="1"/>
    <col min="11" max="11" width="32.5546875" customWidth="1"/>
    <col min="12" max="12" width="18.88671875" customWidth="1"/>
  </cols>
  <sheetData>
    <row r="1" spans="1:12" x14ac:dyDescent="0.3">
      <c r="A1" t="s">
        <v>0</v>
      </c>
      <c r="B1" t="s">
        <v>56</v>
      </c>
      <c r="C1" t="s">
        <v>56</v>
      </c>
      <c r="D1" t="s">
        <v>57</v>
      </c>
      <c r="E1" t="s">
        <v>22</v>
      </c>
      <c r="F1" t="s">
        <v>23</v>
      </c>
      <c r="G1" t="s">
        <v>24</v>
      </c>
      <c r="H1" t="s">
        <v>33</v>
      </c>
      <c r="I1" t="s">
        <v>34</v>
      </c>
      <c r="J1" t="s">
        <v>35</v>
      </c>
      <c r="K1" t="s">
        <v>58</v>
      </c>
      <c r="L1" t="s">
        <v>59</v>
      </c>
    </row>
    <row r="2" spans="1:12" x14ac:dyDescent="0.3">
      <c r="A2" s="1">
        <v>46023</v>
      </c>
      <c r="B2" s="2" t="s">
        <v>62</v>
      </c>
      <c r="C2" s="2" t="str">
        <f t="shared" ref="C2:C21" si="0">TRIM(B2)</f>
        <v>AKSHAY SUNKARI</v>
      </c>
      <c r="D2" s="2" t="s">
        <v>36</v>
      </c>
      <c r="E2" t="s">
        <v>14</v>
      </c>
      <c r="F2" t="s">
        <v>19</v>
      </c>
      <c r="G2">
        <v>1200</v>
      </c>
      <c r="H2" t="str">
        <f t="shared" ref="H2:H21" si="1">UPPER(C2)</f>
        <v>AKSHAY SUNKARI</v>
      </c>
      <c r="I2" t="str">
        <f t="shared" ref="I2:I21" si="2">LOWER(C2)</f>
        <v>akshay sunkari</v>
      </c>
      <c r="J2" t="str">
        <f t="shared" ref="J2:J21" si="3">PROPER(C2)</f>
        <v>Akshay Sunkari</v>
      </c>
      <c r="K2" t="str">
        <f t="shared" ref="K2:K21" si="4">_xlfn.CONCAT(C2," ",D2)</f>
        <v>AKSHAY SUNKARI SUNKARI</v>
      </c>
      <c r="L2" t="str">
        <f>_xlfn.CONCAT(E2,"-",G2)</f>
        <v>USA-1200</v>
      </c>
    </row>
    <row r="3" spans="1:12" x14ac:dyDescent="0.3">
      <c r="A3" s="1">
        <v>46025</v>
      </c>
      <c r="B3" t="s">
        <v>97</v>
      </c>
      <c r="C3" s="2" t="str">
        <f t="shared" si="0"/>
        <v>Anvesh Hirve</v>
      </c>
      <c r="D3" t="s">
        <v>37</v>
      </c>
      <c r="E3" t="s">
        <v>15</v>
      </c>
      <c r="F3" t="s">
        <v>20</v>
      </c>
      <c r="G3">
        <v>800</v>
      </c>
      <c r="H3" t="str">
        <f t="shared" si="1"/>
        <v>ANVESH HIRVE</v>
      </c>
      <c r="I3" t="str">
        <f t="shared" si="2"/>
        <v>anvesh hirve</v>
      </c>
      <c r="J3" t="str">
        <f t="shared" si="3"/>
        <v>Anvesh Hirve</v>
      </c>
      <c r="K3" t="str">
        <f t="shared" si="4"/>
        <v xml:space="preserve">Anvesh Hirve Hirve  </v>
      </c>
      <c r="L3" t="str">
        <f t="shared" ref="L3:L21" si="5">_xlfn.CONCAT(E3,"-",G3)</f>
        <v>Australia-800</v>
      </c>
    </row>
    <row r="4" spans="1:12" x14ac:dyDescent="0.3">
      <c r="A4" s="1">
        <v>46027</v>
      </c>
      <c r="B4" t="s">
        <v>63</v>
      </c>
      <c r="C4" s="2" t="str">
        <f t="shared" si="0"/>
        <v>ATLURI CHARITHA SRI</v>
      </c>
      <c r="D4" t="s">
        <v>38</v>
      </c>
      <c r="E4" t="s">
        <v>16</v>
      </c>
      <c r="F4" t="s">
        <v>19</v>
      </c>
      <c r="G4">
        <v>600</v>
      </c>
      <c r="H4" t="str">
        <f t="shared" si="1"/>
        <v>ATLURI CHARITHA SRI</v>
      </c>
      <c r="I4" t="str">
        <f t="shared" si="2"/>
        <v>atluri charitha sri</v>
      </c>
      <c r="J4" t="str">
        <f t="shared" si="3"/>
        <v>Atluri Charitha Sri</v>
      </c>
      <c r="K4" t="str">
        <f t="shared" si="4"/>
        <v>ATLURI CHARITHA SRI CHARITHA SRI</v>
      </c>
      <c r="L4" t="str">
        <f t="shared" si="5"/>
        <v>UK-600</v>
      </c>
    </row>
    <row r="5" spans="1:12" x14ac:dyDescent="0.3">
      <c r="A5" s="1">
        <v>46030</v>
      </c>
      <c r="B5" t="s">
        <v>64</v>
      </c>
      <c r="C5" s="2" t="str">
        <f t="shared" si="0"/>
        <v>B Ramakrishna</v>
      </c>
      <c r="D5" t="s">
        <v>39</v>
      </c>
      <c r="E5" t="s">
        <v>14</v>
      </c>
      <c r="F5" t="s">
        <v>19</v>
      </c>
      <c r="G5">
        <v>1500</v>
      </c>
      <c r="H5" t="str">
        <f t="shared" si="1"/>
        <v>B RAMAKRISHNA</v>
      </c>
      <c r="I5" t="str">
        <f t="shared" si="2"/>
        <v>b ramakrishna</v>
      </c>
      <c r="J5" t="str">
        <f t="shared" si="3"/>
        <v>B Ramakrishna</v>
      </c>
      <c r="K5" t="str">
        <f t="shared" si="4"/>
        <v>B Ramakrishna Ramakrishna</v>
      </c>
      <c r="L5" t="str">
        <f t="shared" si="5"/>
        <v>USA-1500</v>
      </c>
    </row>
    <row r="6" spans="1:12" x14ac:dyDescent="0.3">
      <c r="A6" s="1">
        <v>46034</v>
      </c>
      <c r="B6" t="s">
        <v>98</v>
      </c>
      <c r="C6" s="2" t="str">
        <f t="shared" si="0"/>
        <v>Bhavana Koneti</v>
      </c>
      <c r="D6" t="s">
        <v>40</v>
      </c>
      <c r="E6" t="s">
        <v>14</v>
      </c>
      <c r="F6" t="s">
        <v>19</v>
      </c>
      <c r="G6">
        <v>900</v>
      </c>
      <c r="H6" t="str">
        <f t="shared" si="1"/>
        <v>BHAVANA KONETI</v>
      </c>
      <c r="I6" t="str">
        <f t="shared" si="2"/>
        <v>bhavana koneti</v>
      </c>
      <c r="J6" t="str">
        <f t="shared" si="3"/>
        <v>Bhavana Koneti</v>
      </c>
      <c r="K6" t="str">
        <f t="shared" si="4"/>
        <v xml:space="preserve">Bhavana Koneti Koneti  </v>
      </c>
      <c r="L6" t="str">
        <f t="shared" si="5"/>
        <v>USA-900</v>
      </c>
    </row>
    <row r="7" spans="1:12" x14ac:dyDescent="0.3">
      <c r="A7" s="1">
        <v>46037</v>
      </c>
      <c r="B7" t="s">
        <v>125</v>
      </c>
      <c r="C7" s="2" t="str">
        <f t="shared" si="0"/>
        <v xml:space="preserve">	Brijesh Mali</v>
      </c>
      <c r="D7" t="s">
        <v>41</v>
      </c>
      <c r="E7" t="s">
        <v>17</v>
      </c>
      <c r="F7" t="s">
        <v>20</v>
      </c>
      <c r="G7">
        <v>700</v>
      </c>
      <c r="H7" t="str">
        <f t="shared" si="1"/>
        <v xml:space="preserve">	BRIJESH MALI</v>
      </c>
      <c r="I7" t="str">
        <f t="shared" si="2"/>
        <v xml:space="preserve">	brijesh mali</v>
      </c>
      <c r="J7" t="str">
        <f t="shared" si="3"/>
        <v xml:space="preserve">	Brijesh Mali</v>
      </c>
      <c r="K7" t="str">
        <f t="shared" si="4"/>
        <v xml:space="preserve">	Brijesh Mali Mali   </v>
      </c>
      <c r="L7" t="str">
        <f t="shared" si="5"/>
        <v>Canada-700</v>
      </c>
    </row>
    <row r="8" spans="1:12" x14ac:dyDescent="0.3">
      <c r="A8" s="1">
        <v>46042</v>
      </c>
      <c r="B8" t="s">
        <v>1</v>
      </c>
      <c r="C8" s="2" t="str">
        <f t="shared" si="0"/>
        <v>Chandana Peddapelly</v>
      </c>
      <c r="D8" t="s">
        <v>42</v>
      </c>
      <c r="E8" t="s">
        <v>15</v>
      </c>
      <c r="F8" t="s">
        <v>21</v>
      </c>
      <c r="G8">
        <v>1300</v>
      </c>
      <c r="H8" t="str">
        <f t="shared" si="1"/>
        <v>CHANDANA PEDDAPELLY</v>
      </c>
      <c r="I8" t="str">
        <f t="shared" si="2"/>
        <v>chandana peddapelly</v>
      </c>
      <c r="J8" t="str">
        <f t="shared" si="3"/>
        <v>Chandana Peddapelly</v>
      </c>
      <c r="K8" t="str">
        <f t="shared" si="4"/>
        <v>Chandana Peddapelly Peddapelly</v>
      </c>
      <c r="L8" t="str">
        <f t="shared" si="5"/>
        <v>Australia-1300</v>
      </c>
    </row>
    <row r="9" spans="1:12" x14ac:dyDescent="0.3">
      <c r="A9" s="1">
        <v>46047</v>
      </c>
      <c r="B9" t="s">
        <v>2</v>
      </c>
      <c r="C9" s="2" t="str">
        <f t="shared" si="0"/>
        <v>Dinesh Kumar Bolla</v>
      </c>
      <c r="D9" t="s">
        <v>43</v>
      </c>
      <c r="E9" t="s">
        <v>16</v>
      </c>
      <c r="F9" t="s">
        <v>20</v>
      </c>
      <c r="G9">
        <v>1100</v>
      </c>
      <c r="H9" t="str">
        <f t="shared" si="1"/>
        <v>DINESH KUMAR BOLLA</v>
      </c>
      <c r="I9" t="str">
        <f t="shared" si="2"/>
        <v>dinesh kumar bolla</v>
      </c>
      <c r="J9" t="str">
        <f t="shared" si="3"/>
        <v>Dinesh Kumar Bolla</v>
      </c>
      <c r="K9" t="str">
        <f t="shared" si="4"/>
        <v>Dinesh Kumar Bolla Bolla</v>
      </c>
      <c r="L9" t="str">
        <f t="shared" si="5"/>
        <v>UK-1100</v>
      </c>
    </row>
    <row r="10" spans="1:12" x14ac:dyDescent="0.3">
      <c r="A10" s="1">
        <v>46055</v>
      </c>
      <c r="B10" t="s">
        <v>3</v>
      </c>
      <c r="C10" s="2" t="str">
        <f t="shared" si="0"/>
        <v>J Sujay</v>
      </c>
      <c r="D10" t="s">
        <v>44</v>
      </c>
      <c r="E10" t="s">
        <v>14</v>
      </c>
      <c r="F10" t="s">
        <v>19</v>
      </c>
      <c r="G10">
        <v>750</v>
      </c>
      <c r="H10" t="str">
        <f t="shared" si="1"/>
        <v>J SUJAY</v>
      </c>
      <c r="I10" t="str">
        <f t="shared" si="2"/>
        <v>j sujay</v>
      </c>
      <c r="J10" t="str">
        <f t="shared" si="3"/>
        <v>J Sujay</v>
      </c>
      <c r="K10" t="str">
        <f t="shared" si="4"/>
        <v>J Sujay Sujay</v>
      </c>
      <c r="L10" t="str">
        <f t="shared" si="5"/>
        <v>USA-750</v>
      </c>
    </row>
    <row r="11" spans="1:12" x14ac:dyDescent="0.3">
      <c r="A11" s="1">
        <v>46058</v>
      </c>
      <c r="B11" t="s">
        <v>4</v>
      </c>
      <c r="C11" s="2" t="str">
        <f t="shared" si="0"/>
        <v>Karrola Nagaraju</v>
      </c>
      <c r="D11" t="s">
        <v>45</v>
      </c>
      <c r="E11" t="s">
        <v>17</v>
      </c>
      <c r="F11" t="s">
        <v>21</v>
      </c>
      <c r="G11">
        <v>1400</v>
      </c>
      <c r="H11" t="str">
        <f t="shared" si="1"/>
        <v>KARROLA NAGARAJU</v>
      </c>
      <c r="I11" t="str">
        <f t="shared" si="2"/>
        <v>karrola nagaraju</v>
      </c>
      <c r="J11" t="str">
        <f t="shared" si="3"/>
        <v>Karrola Nagaraju</v>
      </c>
      <c r="K11" t="str">
        <f t="shared" si="4"/>
        <v>Karrola Nagaraju Nagaraju</v>
      </c>
      <c r="L11" t="str">
        <f t="shared" si="5"/>
        <v>Canada-1400</v>
      </c>
    </row>
    <row r="12" spans="1:12" x14ac:dyDescent="0.3">
      <c r="A12" s="1">
        <v>46063</v>
      </c>
      <c r="B12" t="s">
        <v>5</v>
      </c>
      <c r="C12" s="2" t="str">
        <f t="shared" si="0"/>
        <v>Lalam Satyanarayana</v>
      </c>
      <c r="D12" t="s">
        <v>46</v>
      </c>
      <c r="E12" t="s">
        <v>14</v>
      </c>
      <c r="F12" t="s">
        <v>20</v>
      </c>
      <c r="G12">
        <v>950</v>
      </c>
      <c r="H12" t="str">
        <f t="shared" si="1"/>
        <v>LALAM SATYANARAYANA</v>
      </c>
      <c r="I12" t="str">
        <f t="shared" si="2"/>
        <v>lalam satyanarayana</v>
      </c>
      <c r="J12" t="str">
        <f t="shared" si="3"/>
        <v>Lalam Satyanarayana</v>
      </c>
      <c r="K12" t="str">
        <f t="shared" si="4"/>
        <v>Lalam Satyanarayana Satyanarayana</v>
      </c>
      <c r="L12" t="str">
        <f t="shared" si="5"/>
        <v>USA-950</v>
      </c>
    </row>
    <row r="13" spans="1:12" x14ac:dyDescent="0.3">
      <c r="A13" s="1">
        <v>46067</v>
      </c>
      <c r="B13" t="s">
        <v>126</v>
      </c>
      <c r="C13" s="2" t="str">
        <f t="shared" si="0"/>
        <v>Naveen Shivakoti</v>
      </c>
      <c r="D13" t="s">
        <v>47</v>
      </c>
      <c r="E13" t="s">
        <v>15</v>
      </c>
      <c r="F13" t="s">
        <v>19</v>
      </c>
      <c r="G13">
        <v>680</v>
      </c>
      <c r="H13" t="str">
        <f t="shared" si="1"/>
        <v>NAVEEN SHIVAKOTI</v>
      </c>
      <c r="I13" t="str">
        <f t="shared" si="2"/>
        <v>naveen shivakoti</v>
      </c>
      <c r="J13" t="str">
        <f t="shared" si="3"/>
        <v>Naveen Shivakoti</v>
      </c>
      <c r="K13" t="str">
        <f t="shared" si="4"/>
        <v>Naveen Shivakoti Shivakoti</v>
      </c>
      <c r="L13" t="str">
        <f t="shared" si="5"/>
        <v>Australia-680</v>
      </c>
    </row>
    <row r="14" spans="1:12" x14ac:dyDescent="0.3">
      <c r="A14" s="1">
        <v>46071</v>
      </c>
      <c r="B14" t="s">
        <v>127</v>
      </c>
      <c r="C14" s="2" t="str">
        <f t="shared" si="0"/>
        <v>rudra premkumar</v>
      </c>
      <c r="D14" t="s">
        <v>48</v>
      </c>
      <c r="E14" t="s">
        <v>16</v>
      </c>
      <c r="F14" t="s">
        <v>21</v>
      </c>
      <c r="G14">
        <v>1600</v>
      </c>
      <c r="H14" t="str">
        <f t="shared" si="1"/>
        <v>RUDRA PREMKUMAR</v>
      </c>
      <c r="I14" t="str">
        <f t="shared" si="2"/>
        <v>rudra premkumar</v>
      </c>
      <c r="J14" t="str">
        <f t="shared" si="3"/>
        <v>Rudra Premkumar</v>
      </c>
      <c r="K14" t="str">
        <f t="shared" si="4"/>
        <v>rudra premkumar premkumar</v>
      </c>
      <c r="L14" t="str">
        <f t="shared" si="5"/>
        <v>UK-1600</v>
      </c>
    </row>
    <row r="15" spans="1:12" x14ac:dyDescent="0.3">
      <c r="A15" s="1">
        <v>46075</v>
      </c>
      <c r="B15" t="s">
        <v>6</v>
      </c>
      <c r="C15" s="2" t="str">
        <f t="shared" si="0"/>
        <v>Samiksha Moharana</v>
      </c>
      <c r="D15" t="s">
        <v>49</v>
      </c>
      <c r="E15" t="s">
        <v>18</v>
      </c>
      <c r="F15" t="s">
        <v>20</v>
      </c>
      <c r="G15">
        <v>1000</v>
      </c>
      <c r="H15" t="str">
        <f t="shared" si="1"/>
        <v>SAMIKSHA MOHARANA</v>
      </c>
      <c r="I15" t="str">
        <f t="shared" si="2"/>
        <v>samiksha moharana</v>
      </c>
      <c r="J15" t="str">
        <f t="shared" si="3"/>
        <v>Samiksha Moharana</v>
      </c>
      <c r="K15" t="str">
        <f t="shared" si="4"/>
        <v>Samiksha Moharana Moharana</v>
      </c>
      <c r="L15" t="str">
        <f t="shared" si="5"/>
        <v>Germany-1000</v>
      </c>
    </row>
    <row r="16" spans="1:12" x14ac:dyDescent="0.3">
      <c r="A16" s="1">
        <v>46080</v>
      </c>
      <c r="B16" t="s">
        <v>7</v>
      </c>
      <c r="C16" s="2" t="str">
        <f t="shared" si="0"/>
        <v>Shivaprathap Singiri</v>
      </c>
      <c r="D16" t="s">
        <v>50</v>
      </c>
      <c r="E16" t="s">
        <v>17</v>
      </c>
      <c r="F16" t="s">
        <v>20</v>
      </c>
      <c r="G16">
        <v>720</v>
      </c>
      <c r="H16" t="str">
        <f t="shared" si="1"/>
        <v>SHIVAPRATHAP SINGIRI</v>
      </c>
      <c r="I16" t="str">
        <f t="shared" si="2"/>
        <v>shivaprathap singiri</v>
      </c>
      <c r="J16" t="str">
        <f t="shared" si="3"/>
        <v>Shivaprathap Singiri</v>
      </c>
      <c r="K16" t="str">
        <f t="shared" si="4"/>
        <v>Shivaprathap Singiri Singiri</v>
      </c>
      <c r="L16" t="str">
        <f t="shared" si="5"/>
        <v>Canada-720</v>
      </c>
    </row>
    <row r="17" spans="1:12" x14ac:dyDescent="0.3">
      <c r="A17" s="1">
        <v>46084</v>
      </c>
      <c r="B17" t="s">
        <v>8</v>
      </c>
      <c r="C17" s="2" t="str">
        <f t="shared" si="0"/>
        <v>Shriya Mechineni</v>
      </c>
      <c r="D17" t="s">
        <v>51</v>
      </c>
      <c r="E17" t="s">
        <v>14</v>
      </c>
      <c r="F17" t="s">
        <v>21</v>
      </c>
      <c r="G17">
        <v>1700</v>
      </c>
      <c r="H17" t="str">
        <f t="shared" si="1"/>
        <v>SHRIYA MECHINENI</v>
      </c>
      <c r="I17" t="str">
        <f t="shared" si="2"/>
        <v>shriya mechineni</v>
      </c>
      <c r="J17" t="str">
        <f t="shared" si="3"/>
        <v>Shriya Mechineni</v>
      </c>
      <c r="K17" t="str">
        <f t="shared" si="4"/>
        <v>Shriya Mechineni Mechineni</v>
      </c>
      <c r="L17" t="str">
        <f t="shared" si="5"/>
        <v>USA-1700</v>
      </c>
    </row>
    <row r="18" spans="1:12" x14ac:dyDescent="0.3">
      <c r="A18" s="1">
        <v>46088</v>
      </c>
      <c r="B18" t="s">
        <v>9</v>
      </c>
      <c r="C18" s="2" t="str">
        <f t="shared" si="0"/>
        <v>Siri Mandadapu</v>
      </c>
      <c r="D18" t="s">
        <v>52</v>
      </c>
      <c r="E18" t="s">
        <v>15</v>
      </c>
      <c r="F18" t="s">
        <v>20</v>
      </c>
      <c r="G18">
        <v>1050</v>
      </c>
      <c r="H18" t="str">
        <f t="shared" si="1"/>
        <v>SIRI MANDADAPU</v>
      </c>
      <c r="I18" t="str">
        <f t="shared" si="2"/>
        <v>siri mandadapu</v>
      </c>
      <c r="J18" t="str">
        <f t="shared" si="3"/>
        <v>Siri Mandadapu</v>
      </c>
      <c r="K18" t="str">
        <f t="shared" si="4"/>
        <v>Siri Mandadapu Mandadapu</v>
      </c>
      <c r="L18" t="str">
        <f t="shared" si="5"/>
        <v>Australia-1050</v>
      </c>
    </row>
    <row r="19" spans="1:12" x14ac:dyDescent="0.3">
      <c r="A19" s="1">
        <v>46093</v>
      </c>
      <c r="B19" t="s">
        <v>10</v>
      </c>
      <c r="C19" s="2" t="str">
        <f t="shared" si="0"/>
        <v>SLVSNTejaswi-kota</v>
      </c>
      <c r="D19" t="s">
        <v>53</v>
      </c>
      <c r="E19" t="s">
        <v>16</v>
      </c>
      <c r="F19" t="s">
        <v>19</v>
      </c>
      <c r="G19">
        <v>800</v>
      </c>
      <c r="H19" t="str">
        <f t="shared" si="1"/>
        <v>SLVSNTEJASWI-KOTA</v>
      </c>
      <c r="I19" t="str">
        <f t="shared" si="2"/>
        <v>slvsntejaswi-kota</v>
      </c>
      <c r="J19" t="str">
        <f t="shared" si="3"/>
        <v>Slvsntejaswi-Kota</v>
      </c>
      <c r="K19" t="str">
        <f t="shared" si="4"/>
        <v>SLVSNTejaswi-kota ejaswi-kota</v>
      </c>
      <c r="L19" t="str">
        <f t="shared" si="5"/>
        <v>UK-800</v>
      </c>
    </row>
    <row r="20" spans="1:12" x14ac:dyDescent="0.3">
      <c r="A20" s="1">
        <v>46099</v>
      </c>
      <c r="B20" t="s">
        <v>11</v>
      </c>
      <c r="C20" s="2" t="str">
        <f t="shared" si="0"/>
        <v>suma sri priya</v>
      </c>
      <c r="D20" t="s">
        <v>54</v>
      </c>
      <c r="E20" t="s">
        <v>18</v>
      </c>
      <c r="F20" t="s">
        <v>21</v>
      </c>
      <c r="G20">
        <v>1550</v>
      </c>
      <c r="H20" t="str">
        <f t="shared" si="1"/>
        <v>SUMA SRI PRIYA</v>
      </c>
      <c r="I20" t="str">
        <f t="shared" si="2"/>
        <v>suma sri priya</v>
      </c>
      <c r="J20" t="str">
        <f t="shared" si="3"/>
        <v>Suma Sri Priya</v>
      </c>
      <c r="K20" t="str">
        <f t="shared" si="4"/>
        <v>suma sri priya sri priya</v>
      </c>
      <c r="L20" t="str">
        <f t="shared" si="5"/>
        <v>Germany-1550</v>
      </c>
    </row>
    <row r="21" spans="1:12" x14ac:dyDescent="0.3">
      <c r="A21" s="3">
        <v>46103</v>
      </c>
      <c r="B21" t="s">
        <v>12</v>
      </c>
      <c r="C21" s="2" t="str">
        <f t="shared" si="0"/>
        <v>Thejaswini Padurthi</v>
      </c>
      <c r="D21" t="s">
        <v>55</v>
      </c>
      <c r="E21" s="4" t="s">
        <v>17</v>
      </c>
      <c r="F21" s="4" t="s">
        <v>20</v>
      </c>
      <c r="G21" s="4">
        <v>980</v>
      </c>
      <c r="H21" t="str">
        <f t="shared" si="1"/>
        <v>THEJASWINI PADURTHI</v>
      </c>
      <c r="I21" t="str">
        <f t="shared" si="2"/>
        <v>thejaswini padurthi</v>
      </c>
      <c r="J21" t="str">
        <f t="shared" si="3"/>
        <v>Thejaswini Padurthi</v>
      </c>
      <c r="K21" t="str">
        <f t="shared" si="4"/>
        <v>Thejaswini Padurthi Padurthi</v>
      </c>
      <c r="L21" t="str">
        <f t="shared" si="5"/>
        <v>Canada-980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103D-BF74-4102-AD29-C8F486C5A3E9}">
  <dimension ref="A1:G21"/>
  <sheetViews>
    <sheetView workbookViewId="0">
      <selection activeCell="J3" sqref="J3"/>
    </sheetView>
  </sheetViews>
  <sheetFormatPr defaultRowHeight="14.4" x14ac:dyDescent="0.3"/>
  <cols>
    <col min="1" max="1" width="14.77734375" customWidth="1"/>
    <col min="2" max="2" width="17.21875" customWidth="1"/>
    <col min="3" max="3" width="13.6640625" customWidth="1"/>
    <col min="4" max="4" width="19.6640625" customWidth="1"/>
    <col min="5" max="5" width="11.33203125" customWidth="1"/>
  </cols>
  <sheetData>
    <row r="1" spans="1:7" x14ac:dyDescent="0.3">
      <c r="A1" t="s">
        <v>0</v>
      </c>
      <c r="B1" t="s">
        <v>56</v>
      </c>
      <c r="C1" t="s">
        <v>56</v>
      </c>
      <c r="D1" t="s">
        <v>57</v>
      </c>
      <c r="E1" t="s">
        <v>22</v>
      </c>
      <c r="F1" t="s">
        <v>23</v>
      </c>
      <c r="G1" t="s">
        <v>24</v>
      </c>
    </row>
    <row r="2" spans="1:7" x14ac:dyDescent="0.3">
      <c r="A2" s="1">
        <v>46023</v>
      </c>
      <c r="B2" s="2" t="s">
        <v>62</v>
      </c>
      <c r="C2" s="2" t="str">
        <f t="shared" ref="C2:C21" si="0">TRIM(B2)</f>
        <v>AKSHAY SUNKARI</v>
      </c>
      <c r="D2" s="2" t="s">
        <v>36</v>
      </c>
      <c r="E2" t="s">
        <v>14</v>
      </c>
      <c r="F2" t="s">
        <v>19</v>
      </c>
      <c r="G2">
        <v>1200</v>
      </c>
    </row>
    <row r="3" spans="1:7" x14ac:dyDescent="0.3">
      <c r="A3" s="1">
        <v>46025</v>
      </c>
      <c r="B3" t="s">
        <v>97</v>
      </c>
      <c r="C3" s="2" t="str">
        <f t="shared" si="0"/>
        <v>Anvesh Hirve</v>
      </c>
      <c r="D3" t="s">
        <v>37</v>
      </c>
      <c r="E3" t="s">
        <v>15</v>
      </c>
      <c r="F3" t="s">
        <v>20</v>
      </c>
      <c r="G3">
        <v>800</v>
      </c>
    </row>
    <row r="4" spans="1:7" x14ac:dyDescent="0.3">
      <c r="A4" s="1">
        <v>46027</v>
      </c>
      <c r="B4" t="s">
        <v>63</v>
      </c>
      <c r="C4" s="2" t="str">
        <f t="shared" si="0"/>
        <v>ATLURI CHARITHA SRI</v>
      </c>
      <c r="D4" t="s">
        <v>38</v>
      </c>
      <c r="E4" t="s">
        <v>16</v>
      </c>
      <c r="F4" t="s">
        <v>19</v>
      </c>
      <c r="G4">
        <v>600</v>
      </c>
    </row>
    <row r="5" spans="1:7" x14ac:dyDescent="0.3">
      <c r="A5" s="1">
        <v>46030</v>
      </c>
      <c r="B5" t="s">
        <v>64</v>
      </c>
      <c r="C5" s="2" t="str">
        <f t="shared" si="0"/>
        <v>B Ramakrishna</v>
      </c>
      <c r="D5" t="s">
        <v>39</v>
      </c>
      <c r="E5" t="s">
        <v>14</v>
      </c>
      <c r="F5" t="s">
        <v>19</v>
      </c>
      <c r="G5">
        <v>1500</v>
      </c>
    </row>
    <row r="6" spans="1:7" x14ac:dyDescent="0.3">
      <c r="A6" s="1">
        <v>46034</v>
      </c>
      <c r="B6" t="s">
        <v>98</v>
      </c>
      <c r="C6" s="2" t="str">
        <f t="shared" si="0"/>
        <v>Bhavana Koneti</v>
      </c>
      <c r="D6" t="s">
        <v>40</v>
      </c>
      <c r="E6" t="s">
        <v>14</v>
      </c>
      <c r="F6" t="s">
        <v>19</v>
      </c>
      <c r="G6">
        <v>900</v>
      </c>
    </row>
    <row r="7" spans="1:7" x14ac:dyDescent="0.3">
      <c r="A7" s="1">
        <v>46037</v>
      </c>
      <c r="B7" t="s">
        <v>125</v>
      </c>
      <c r="C7" s="2" t="str">
        <f t="shared" si="0"/>
        <v xml:space="preserve">	Brijesh Mali</v>
      </c>
      <c r="D7" t="s">
        <v>41</v>
      </c>
      <c r="E7" t="s">
        <v>17</v>
      </c>
      <c r="F7" t="s">
        <v>20</v>
      </c>
      <c r="G7">
        <v>700</v>
      </c>
    </row>
    <row r="8" spans="1:7" x14ac:dyDescent="0.3">
      <c r="A8" s="1">
        <v>46042</v>
      </c>
      <c r="B8" t="s">
        <v>1</v>
      </c>
      <c r="C8" s="2" t="str">
        <f t="shared" si="0"/>
        <v>Chandana Peddapelly</v>
      </c>
      <c r="D8" t="s">
        <v>42</v>
      </c>
      <c r="E8" t="s">
        <v>15</v>
      </c>
      <c r="F8" t="s">
        <v>21</v>
      </c>
      <c r="G8">
        <v>1300</v>
      </c>
    </row>
    <row r="9" spans="1:7" x14ac:dyDescent="0.3">
      <c r="A9" s="1">
        <v>46047</v>
      </c>
      <c r="B9" t="s">
        <v>2</v>
      </c>
      <c r="C9" s="2" t="str">
        <f t="shared" si="0"/>
        <v>Dinesh Kumar Bolla</v>
      </c>
      <c r="D9" t="s">
        <v>43</v>
      </c>
      <c r="E9" t="s">
        <v>16</v>
      </c>
      <c r="F9" t="s">
        <v>20</v>
      </c>
      <c r="G9">
        <v>1100</v>
      </c>
    </row>
    <row r="10" spans="1:7" x14ac:dyDescent="0.3">
      <c r="A10" s="1">
        <v>46055</v>
      </c>
      <c r="B10" t="s">
        <v>3</v>
      </c>
      <c r="C10" s="2" t="str">
        <f t="shared" si="0"/>
        <v>J Sujay</v>
      </c>
      <c r="D10" t="s">
        <v>44</v>
      </c>
      <c r="E10" t="s">
        <v>14</v>
      </c>
      <c r="F10" t="s">
        <v>19</v>
      </c>
      <c r="G10">
        <v>750</v>
      </c>
    </row>
    <row r="11" spans="1:7" x14ac:dyDescent="0.3">
      <c r="A11" s="1">
        <v>46058</v>
      </c>
      <c r="B11" t="s">
        <v>4</v>
      </c>
      <c r="C11" s="2" t="str">
        <f t="shared" si="0"/>
        <v>Karrola Nagaraju</v>
      </c>
      <c r="D11" t="s">
        <v>45</v>
      </c>
      <c r="E11" t="s">
        <v>17</v>
      </c>
      <c r="F11" t="s">
        <v>21</v>
      </c>
      <c r="G11">
        <v>1400</v>
      </c>
    </row>
    <row r="12" spans="1:7" x14ac:dyDescent="0.3">
      <c r="A12" s="1">
        <v>46063</v>
      </c>
      <c r="B12" t="s">
        <v>5</v>
      </c>
      <c r="C12" s="2" t="str">
        <f t="shared" si="0"/>
        <v>Lalam Satyanarayana</v>
      </c>
      <c r="D12" t="s">
        <v>46</v>
      </c>
      <c r="E12" t="s">
        <v>14</v>
      </c>
      <c r="F12" t="s">
        <v>20</v>
      </c>
      <c r="G12">
        <v>950</v>
      </c>
    </row>
    <row r="13" spans="1:7" x14ac:dyDescent="0.3">
      <c r="A13" s="1">
        <v>46067</v>
      </c>
      <c r="B13" t="s">
        <v>126</v>
      </c>
      <c r="C13" s="2" t="str">
        <f t="shared" si="0"/>
        <v>Naveen Shivakoti</v>
      </c>
      <c r="D13" t="s">
        <v>47</v>
      </c>
      <c r="E13" t="s">
        <v>15</v>
      </c>
      <c r="F13" t="s">
        <v>19</v>
      </c>
      <c r="G13">
        <v>680</v>
      </c>
    </row>
    <row r="14" spans="1:7" x14ac:dyDescent="0.3">
      <c r="A14" s="1">
        <v>46071</v>
      </c>
      <c r="B14" t="s">
        <v>127</v>
      </c>
      <c r="C14" s="2" t="str">
        <f t="shared" si="0"/>
        <v>rudra premkumar</v>
      </c>
      <c r="D14" t="s">
        <v>48</v>
      </c>
      <c r="E14" t="s">
        <v>16</v>
      </c>
      <c r="F14" t="s">
        <v>21</v>
      </c>
      <c r="G14">
        <v>1600</v>
      </c>
    </row>
    <row r="15" spans="1:7" x14ac:dyDescent="0.3">
      <c r="A15" s="1">
        <v>46075</v>
      </c>
      <c r="B15" t="s">
        <v>6</v>
      </c>
      <c r="C15" s="2" t="str">
        <f t="shared" si="0"/>
        <v>Samiksha Moharana</v>
      </c>
      <c r="D15" t="s">
        <v>49</v>
      </c>
      <c r="E15" t="s">
        <v>18</v>
      </c>
      <c r="F15" t="s">
        <v>20</v>
      </c>
      <c r="G15">
        <v>1000</v>
      </c>
    </row>
    <row r="16" spans="1:7" x14ac:dyDescent="0.3">
      <c r="A16" s="1">
        <v>46080</v>
      </c>
      <c r="B16" t="s">
        <v>7</v>
      </c>
      <c r="C16" s="2" t="str">
        <f t="shared" si="0"/>
        <v>Shivaprathap Singiri</v>
      </c>
      <c r="D16" t="s">
        <v>50</v>
      </c>
      <c r="E16" t="s">
        <v>17</v>
      </c>
      <c r="F16" t="s">
        <v>20</v>
      </c>
      <c r="G16">
        <v>720</v>
      </c>
    </row>
    <row r="17" spans="1:7" x14ac:dyDescent="0.3">
      <c r="A17" s="1">
        <v>46084</v>
      </c>
      <c r="B17" t="s">
        <v>8</v>
      </c>
      <c r="C17" s="2" t="str">
        <f t="shared" si="0"/>
        <v>Shriya Mechineni</v>
      </c>
      <c r="D17" t="s">
        <v>51</v>
      </c>
      <c r="E17" t="s">
        <v>14</v>
      </c>
      <c r="F17" t="s">
        <v>21</v>
      </c>
      <c r="G17">
        <v>1700</v>
      </c>
    </row>
    <row r="18" spans="1:7" x14ac:dyDescent="0.3">
      <c r="A18" s="1">
        <v>46088</v>
      </c>
      <c r="B18" t="s">
        <v>9</v>
      </c>
      <c r="C18" s="2" t="str">
        <f t="shared" si="0"/>
        <v>Siri Mandadapu</v>
      </c>
      <c r="D18" t="s">
        <v>52</v>
      </c>
      <c r="E18" t="s">
        <v>15</v>
      </c>
      <c r="F18" t="s">
        <v>20</v>
      </c>
      <c r="G18">
        <v>1050</v>
      </c>
    </row>
    <row r="19" spans="1:7" x14ac:dyDescent="0.3">
      <c r="A19" s="1">
        <v>46093</v>
      </c>
      <c r="B19" t="s">
        <v>10</v>
      </c>
      <c r="C19" s="2" t="str">
        <f t="shared" si="0"/>
        <v>SLVSNTejaswi-kota</v>
      </c>
      <c r="D19" t="s">
        <v>53</v>
      </c>
      <c r="E19" t="s">
        <v>16</v>
      </c>
      <c r="F19" t="s">
        <v>19</v>
      </c>
      <c r="G19">
        <v>800</v>
      </c>
    </row>
    <row r="20" spans="1:7" x14ac:dyDescent="0.3">
      <c r="A20" s="1">
        <v>46099</v>
      </c>
      <c r="B20" t="s">
        <v>11</v>
      </c>
      <c r="C20" s="2" t="str">
        <f t="shared" si="0"/>
        <v>suma sri priya</v>
      </c>
      <c r="D20" t="s">
        <v>54</v>
      </c>
      <c r="E20" t="s">
        <v>18</v>
      </c>
      <c r="F20" t="s">
        <v>21</v>
      </c>
      <c r="G20">
        <v>1550</v>
      </c>
    </row>
    <row r="21" spans="1:7" x14ac:dyDescent="0.3">
      <c r="A21" s="3">
        <v>46103</v>
      </c>
      <c r="B21" t="s">
        <v>12</v>
      </c>
      <c r="C21" s="2" t="str">
        <f t="shared" si="0"/>
        <v>Thejaswini Padurthi</v>
      </c>
      <c r="D21" t="s">
        <v>55</v>
      </c>
      <c r="E21" s="4" t="s">
        <v>17</v>
      </c>
      <c r="F21" s="4" t="s">
        <v>20</v>
      </c>
      <c r="G21" s="4">
        <v>980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34616-62E5-4946-949C-10DD782C6727}">
  <dimension ref="A1:Q25"/>
  <sheetViews>
    <sheetView topLeftCell="D3" workbookViewId="0">
      <selection activeCell="J3" sqref="J3:Q27"/>
    </sheetView>
  </sheetViews>
  <sheetFormatPr defaultRowHeight="14.4" x14ac:dyDescent="0.3"/>
  <cols>
    <col min="1" max="1" width="10.77734375" customWidth="1"/>
    <col min="2" max="2" width="22.5546875" customWidth="1"/>
    <col min="3" max="3" width="19.5546875" customWidth="1"/>
    <col min="4" max="4" width="17.44140625" customWidth="1"/>
    <col min="5" max="5" width="14.21875" customWidth="1"/>
    <col min="8" max="8" width="20.6640625" customWidth="1"/>
    <col min="10" max="10" width="17.21875" customWidth="1"/>
    <col min="11" max="11" width="23.77734375" customWidth="1"/>
    <col min="12" max="12" width="23.33203125" customWidth="1"/>
    <col min="17" max="17" width="26" customWidth="1"/>
  </cols>
  <sheetData>
    <row r="1" spans="1:17" s="5" customFormat="1" x14ac:dyDescent="0.3">
      <c r="A1" s="6" t="s">
        <v>0</v>
      </c>
      <c r="B1" s="6" t="s">
        <v>13</v>
      </c>
      <c r="C1" s="6" t="s">
        <v>61</v>
      </c>
      <c r="D1" s="6" t="s">
        <v>13</v>
      </c>
      <c r="E1" s="6" t="s">
        <v>22</v>
      </c>
      <c r="F1" s="6" t="s">
        <v>23</v>
      </c>
      <c r="G1" s="6" t="s">
        <v>24</v>
      </c>
      <c r="H1" s="5" t="s">
        <v>60</v>
      </c>
    </row>
    <row r="2" spans="1:17" x14ac:dyDescent="0.3">
      <c r="A2" s="1">
        <v>46023</v>
      </c>
      <c r="B2" s="2" t="s">
        <v>25</v>
      </c>
      <c r="C2" t="str">
        <f t="shared" ref="C2:C21" si="0">TRIM(B2)</f>
        <v>AKSHAY SUNKARI</v>
      </c>
      <c r="D2" s="2"/>
      <c r="E2" t="s">
        <v>14</v>
      </c>
      <c r="F2" t="s">
        <v>19</v>
      </c>
      <c r="G2">
        <v>1200</v>
      </c>
      <c r="H2" t="str">
        <f>IF(G2&gt;800,"High Sales","Low Sales")</f>
        <v>High Sales</v>
      </c>
    </row>
    <row r="3" spans="1:17" x14ac:dyDescent="0.3">
      <c r="A3" s="1">
        <v>46025</v>
      </c>
      <c r="B3" t="s">
        <v>26</v>
      </c>
      <c r="C3" t="str">
        <f t="shared" si="0"/>
        <v>Anvesh Hirve</v>
      </c>
      <c r="E3" t="s">
        <v>15</v>
      </c>
      <c r="F3" t="s">
        <v>20</v>
      </c>
      <c r="G3">
        <v>800</v>
      </c>
      <c r="H3" t="str">
        <f t="shared" ref="H3:H21" si="1">IF(G3&gt;800,"High Sales","Low Sales")</f>
        <v>Low Sales</v>
      </c>
      <c r="K3" t="s">
        <v>114</v>
      </c>
    </row>
    <row r="4" spans="1:17" x14ac:dyDescent="0.3">
      <c r="A4" s="1">
        <v>46027</v>
      </c>
      <c r="B4" t="s">
        <v>27</v>
      </c>
      <c r="C4" t="str">
        <f t="shared" si="0"/>
        <v>ATLURI CHARITHA SRI</v>
      </c>
      <c r="E4" t="s">
        <v>16</v>
      </c>
      <c r="F4" t="s">
        <v>19</v>
      </c>
      <c r="G4">
        <v>600</v>
      </c>
      <c r="H4" t="str">
        <f t="shared" si="1"/>
        <v>Low Sales</v>
      </c>
      <c r="J4" s="27" t="s">
        <v>116</v>
      </c>
      <c r="K4" s="27"/>
      <c r="L4" s="27"/>
      <c r="M4" s="27"/>
      <c r="N4" s="27"/>
      <c r="O4" s="27"/>
    </row>
    <row r="5" spans="1:17" x14ac:dyDescent="0.3">
      <c r="A5" s="1">
        <v>46030</v>
      </c>
      <c r="B5" t="s">
        <v>28</v>
      </c>
      <c r="C5" t="str">
        <f t="shared" si="0"/>
        <v>B Ramakrishna</v>
      </c>
      <c r="E5" t="s">
        <v>14</v>
      </c>
      <c r="F5" t="s">
        <v>19</v>
      </c>
      <c r="G5">
        <v>1500</v>
      </c>
      <c r="H5" t="str">
        <f t="shared" si="1"/>
        <v>High Sales</v>
      </c>
      <c r="J5" s="6" t="s">
        <v>0</v>
      </c>
      <c r="K5" s="6" t="s">
        <v>13</v>
      </c>
      <c r="L5" s="6" t="s">
        <v>61</v>
      </c>
      <c r="M5" s="6" t="s">
        <v>22</v>
      </c>
      <c r="N5" s="6" t="s">
        <v>23</v>
      </c>
      <c r="O5" s="6" t="s">
        <v>24</v>
      </c>
      <c r="Q5" s="6" t="s">
        <v>115</v>
      </c>
    </row>
    <row r="6" spans="1:17" x14ac:dyDescent="0.3">
      <c r="A6" s="1">
        <v>46034</v>
      </c>
      <c r="B6" t="s">
        <v>29</v>
      </c>
      <c r="C6" t="str">
        <f t="shared" si="0"/>
        <v>Bhavana Koneti</v>
      </c>
      <c r="E6" t="s">
        <v>14</v>
      </c>
      <c r="F6" t="s">
        <v>19</v>
      </c>
      <c r="G6">
        <v>900</v>
      </c>
      <c r="H6" t="str">
        <f t="shared" si="1"/>
        <v>High Sales</v>
      </c>
      <c r="J6" s="1">
        <v>46023</v>
      </c>
      <c r="K6" s="2" t="s">
        <v>25</v>
      </c>
      <c r="L6" t="str">
        <f t="shared" ref="L6:L25" si="2">TRIM(K6)</f>
        <v>AKSHAY SUNKARI</v>
      </c>
      <c r="M6" t="s">
        <v>14</v>
      </c>
      <c r="N6" t="s">
        <v>19</v>
      </c>
      <c r="O6" s="13">
        <v>1200</v>
      </c>
      <c r="Q6" s="12">
        <f>COUNTIF(M6:M25,"USA")</f>
        <v>6</v>
      </c>
    </row>
    <row r="7" spans="1:17" x14ac:dyDescent="0.3">
      <c r="A7" s="1">
        <v>46037</v>
      </c>
      <c r="B7" t="s">
        <v>30</v>
      </c>
      <c r="C7" t="str">
        <f t="shared" si="0"/>
        <v xml:space="preserve">	Brijesh Mali</v>
      </c>
      <c r="E7" t="s">
        <v>17</v>
      </c>
      <c r="F7" t="s">
        <v>20</v>
      </c>
      <c r="G7">
        <v>700</v>
      </c>
      <c r="H7" t="str">
        <f t="shared" si="1"/>
        <v>Low Sales</v>
      </c>
      <c r="J7" s="1">
        <v>46025</v>
      </c>
      <c r="K7" t="s">
        <v>26</v>
      </c>
      <c r="L7" t="str">
        <f t="shared" si="2"/>
        <v>Anvesh Hirve</v>
      </c>
      <c r="M7" t="s">
        <v>15</v>
      </c>
      <c r="N7" t="s">
        <v>20</v>
      </c>
      <c r="O7">
        <v>800</v>
      </c>
    </row>
    <row r="8" spans="1:17" x14ac:dyDescent="0.3">
      <c r="A8" s="1">
        <v>46042</v>
      </c>
      <c r="B8" t="s">
        <v>1</v>
      </c>
      <c r="C8" t="str">
        <f t="shared" si="0"/>
        <v>Chandana Peddapelly</v>
      </c>
      <c r="E8" t="s">
        <v>15</v>
      </c>
      <c r="F8" t="s">
        <v>21</v>
      </c>
      <c r="G8">
        <v>1300</v>
      </c>
      <c r="H8" t="str">
        <f t="shared" si="1"/>
        <v>High Sales</v>
      </c>
      <c r="J8" s="1">
        <v>46027</v>
      </c>
      <c r="K8" t="s">
        <v>27</v>
      </c>
      <c r="L8" t="str">
        <f t="shared" si="2"/>
        <v>ATLURI CHARITHA SRI</v>
      </c>
      <c r="M8" t="s">
        <v>16</v>
      </c>
      <c r="N8" t="s">
        <v>19</v>
      </c>
      <c r="O8">
        <v>600</v>
      </c>
      <c r="Q8" t="s">
        <v>117</v>
      </c>
    </row>
    <row r="9" spans="1:17" x14ac:dyDescent="0.3">
      <c r="A9" s="1">
        <v>46047</v>
      </c>
      <c r="B9" t="s">
        <v>2</v>
      </c>
      <c r="C9" t="str">
        <f t="shared" si="0"/>
        <v>Dinesh Kumar Bolla</v>
      </c>
      <c r="E9" t="s">
        <v>16</v>
      </c>
      <c r="F9" t="s">
        <v>20</v>
      </c>
      <c r="G9">
        <v>1100</v>
      </c>
      <c r="H9" t="str">
        <f t="shared" si="1"/>
        <v>High Sales</v>
      </c>
      <c r="J9" s="1">
        <v>46030</v>
      </c>
      <c r="K9" t="s">
        <v>28</v>
      </c>
      <c r="L9" t="str">
        <f t="shared" si="2"/>
        <v>B Ramakrishna</v>
      </c>
      <c r="M9" t="s">
        <v>14</v>
      </c>
      <c r="N9" t="s">
        <v>19</v>
      </c>
      <c r="O9" s="13">
        <v>1500</v>
      </c>
      <c r="Q9" s="12">
        <f>COUNTIFS(M6:M25,"USA",N6:N25,"A")</f>
        <v>3</v>
      </c>
    </row>
    <row r="10" spans="1:17" x14ac:dyDescent="0.3">
      <c r="A10" s="1">
        <v>46055</v>
      </c>
      <c r="B10" t="s">
        <v>3</v>
      </c>
      <c r="C10" t="str">
        <f t="shared" si="0"/>
        <v>J Sujay</v>
      </c>
      <c r="E10" t="s">
        <v>14</v>
      </c>
      <c r="F10" t="s">
        <v>19</v>
      </c>
      <c r="G10">
        <v>750</v>
      </c>
      <c r="H10" t="str">
        <f t="shared" si="1"/>
        <v>Low Sales</v>
      </c>
      <c r="J10" s="1">
        <v>46034</v>
      </c>
      <c r="K10" t="s">
        <v>29</v>
      </c>
      <c r="L10" t="str">
        <f t="shared" si="2"/>
        <v>Bhavana Koneti</v>
      </c>
      <c r="M10" t="s">
        <v>14</v>
      </c>
      <c r="N10" t="s">
        <v>20</v>
      </c>
      <c r="O10" s="13">
        <v>900</v>
      </c>
    </row>
    <row r="11" spans="1:17" x14ac:dyDescent="0.3">
      <c r="A11" s="1">
        <v>46058</v>
      </c>
      <c r="B11" t="s">
        <v>4</v>
      </c>
      <c r="C11" t="str">
        <f t="shared" si="0"/>
        <v>Karrola Nagaraju</v>
      </c>
      <c r="E11" t="s">
        <v>17</v>
      </c>
      <c r="F11" t="s">
        <v>21</v>
      </c>
      <c r="G11">
        <v>1400</v>
      </c>
      <c r="H11" t="str">
        <f t="shared" si="1"/>
        <v>High Sales</v>
      </c>
      <c r="J11" s="1">
        <v>46037</v>
      </c>
      <c r="K11" t="s">
        <v>30</v>
      </c>
      <c r="L11" t="str">
        <f t="shared" si="2"/>
        <v xml:space="preserve">	Brijesh Mali</v>
      </c>
      <c r="M11" t="s">
        <v>17</v>
      </c>
      <c r="N11" t="s">
        <v>20</v>
      </c>
      <c r="O11">
        <v>700</v>
      </c>
    </row>
    <row r="12" spans="1:17" x14ac:dyDescent="0.3">
      <c r="A12" s="1">
        <v>46063</v>
      </c>
      <c r="B12" t="s">
        <v>5</v>
      </c>
      <c r="C12" t="str">
        <f t="shared" si="0"/>
        <v>Lalam Satyanarayana</v>
      </c>
      <c r="E12" t="s">
        <v>14</v>
      </c>
      <c r="F12" t="s">
        <v>20</v>
      </c>
      <c r="G12">
        <v>950</v>
      </c>
      <c r="H12" t="str">
        <f t="shared" si="1"/>
        <v>High Sales</v>
      </c>
      <c r="J12" s="1">
        <v>46042</v>
      </c>
      <c r="K12" t="s">
        <v>1</v>
      </c>
      <c r="L12" t="str">
        <f t="shared" si="2"/>
        <v>Chandana Peddapelly</v>
      </c>
      <c r="M12" t="s">
        <v>15</v>
      </c>
      <c r="N12" t="s">
        <v>21</v>
      </c>
      <c r="O12">
        <v>1300</v>
      </c>
      <c r="Q12" s="13" t="s">
        <v>118</v>
      </c>
    </row>
    <row r="13" spans="1:17" x14ac:dyDescent="0.3">
      <c r="A13" s="1">
        <v>46067</v>
      </c>
      <c r="B13" t="s">
        <v>31</v>
      </c>
      <c r="C13" t="str">
        <f t="shared" si="0"/>
        <v>Naveen Shivakoti</v>
      </c>
      <c r="E13" t="s">
        <v>15</v>
      </c>
      <c r="F13" t="s">
        <v>19</v>
      </c>
      <c r="G13">
        <v>680</v>
      </c>
      <c r="H13" t="str">
        <f t="shared" si="1"/>
        <v>Low Sales</v>
      </c>
      <c r="J13" s="1">
        <v>46047</v>
      </c>
      <c r="K13" t="s">
        <v>2</v>
      </c>
      <c r="L13" t="str">
        <f t="shared" si="2"/>
        <v>Dinesh Kumar Bolla</v>
      </c>
      <c r="M13" t="s">
        <v>16</v>
      </c>
      <c r="N13" t="s">
        <v>20</v>
      </c>
      <c r="O13">
        <v>1100</v>
      </c>
      <c r="Q13" t="s">
        <v>119</v>
      </c>
    </row>
    <row r="14" spans="1:17" x14ac:dyDescent="0.3">
      <c r="A14" s="1">
        <v>46071</v>
      </c>
      <c r="B14" t="s">
        <v>32</v>
      </c>
      <c r="C14" t="str">
        <f t="shared" si="0"/>
        <v>rudra premkumar</v>
      </c>
      <c r="E14" t="s">
        <v>16</v>
      </c>
      <c r="F14" t="s">
        <v>21</v>
      </c>
      <c r="G14">
        <v>1600</v>
      </c>
      <c r="H14" t="str">
        <f t="shared" si="1"/>
        <v>High Sales</v>
      </c>
      <c r="J14" s="1">
        <v>46055</v>
      </c>
      <c r="K14" t="s">
        <v>3</v>
      </c>
      <c r="L14" t="str">
        <f t="shared" si="2"/>
        <v>J Sujay</v>
      </c>
      <c r="M14" t="s">
        <v>14</v>
      </c>
      <c r="N14" t="s">
        <v>19</v>
      </c>
      <c r="O14" s="13">
        <v>750</v>
      </c>
      <c r="Q14" s="12">
        <f>SUMIF(M6:M25,"USA",O6:O25)</f>
        <v>7000</v>
      </c>
    </row>
    <row r="15" spans="1:17" x14ac:dyDescent="0.3">
      <c r="A15" s="1">
        <v>46075</v>
      </c>
      <c r="B15" t="s">
        <v>6</v>
      </c>
      <c r="C15" t="str">
        <f t="shared" si="0"/>
        <v>Samiksha Moharana</v>
      </c>
      <c r="E15" t="s">
        <v>18</v>
      </c>
      <c r="F15" t="s">
        <v>20</v>
      </c>
      <c r="G15">
        <v>1000</v>
      </c>
      <c r="H15" t="str">
        <f t="shared" si="1"/>
        <v>High Sales</v>
      </c>
      <c r="J15" s="1">
        <v>46058</v>
      </c>
      <c r="K15" t="s">
        <v>4</v>
      </c>
      <c r="L15" t="str">
        <f t="shared" si="2"/>
        <v>Karrola Nagaraju</v>
      </c>
      <c r="M15" t="s">
        <v>17</v>
      </c>
      <c r="N15" t="s">
        <v>21</v>
      </c>
      <c r="O15">
        <v>1400</v>
      </c>
      <c r="Q15" t="s">
        <v>120</v>
      </c>
    </row>
    <row r="16" spans="1:17" x14ac:dyDescent="0.3">
      <c r="A16" s="1">
        <v>46080</v>
      </c>
      <c r="B16" t="s">
        <v>7</v>
      </c>
      <c r="C16" t="str">
        <f t="shared" si="0"/>
        <v>Shivaprathap Singiri</v>
      </c>
      <c r="E16" t="s">
        <v>17</v>
      </c>
      <c r="F16" t="s">
        <v>20</v>
      </c>
      <c r="G16">
        <v>720</v>
      </c>
      <c r="H16" t="str">
        <f t="shared" si="1"/>
        <v>Low Sales</v>
      </c>
      <c r="J16" s="1">
        <v>46063</v>
      </c>
      <c r="K16" t="s">
        <v>5</v>
      </c>
      <c r="L16" t="str">
        <f t="shared" si="2"/>
        <v>Lalam Satyanarayana</v>
      </c>
      <c r="M16" t="s">
        <v>14</v>
      </c>
      <c r="N16" t="s">
        <v>20</v>
      </c>
      <c r="O16" s="13">
        <v>950</v>
      </c>
      <c r="Q16" t="s">
        <v>121</v>
      </c>
    </row>
    <row r="17" spans="1:17" x14ac:dyDescent="0.3">
      <c r="A17" s="1">
        <v>46084</v>
      </c>
      <c r="B17" t="s">
        <v>8</v>
      </c>
      <c r="C17" t="str">
        <f t="shared" si="0"/>
        <v>Shriya Mechineni</v>
      </c>
      <c r="E17" t="s">
        <v>14</v>
      </c>
      <c r="F17" t="s">
        <v>21</v>
      </c>
      <c r="G17">
        <v>1700</v>
      </c>
      <c r="H17" t="str">
        <f t="shared" si="1"/>
        <v>High Sales</v>
      </c>
      <c r="J17" s="1">
        <v>46067</v>
      </c>
      <c r="K17" t="s">
        <v>31</v>
      </c>
      <c r="L17" t="str">
        <f t="shared" si="2"/>
        <v>Naveen Shivakoti</v>
      </c>
      <c r="M17" t="s">
        <v>15</v>
      </c>
      <c r="N17" t="s">
        <v>19</v>
      </c>
      <c r="O17">
        <v>680</v>
      </c>
      <c r="Q17" s="12">
        <f>SUMIFS(O6:O25,M6:M25,"USA",N6:N25,"A")</f>
        <v>3450</v>
      </c>
    </row>
    <row r="18" spans="1:17" x14ac:dyDescent="0.3">
      <c r="A18" s="1">
        <v>46088</v>
      </c>
      <c r="B18" t="s">
        <v>9</v>
      </c>
      <c r="C18" t="str">
        <f t="shared" si="0"/>
        <v>Siri Mandadapu</v>
      </c>
      <c r="E18" t="s">
        <v>15</v>
      </c>
      <c r="F18" t="s">
        <v>20</v>
      </c>
      <c r="G18">
        <v>1050</v>
      </c>
      <c r="H18" t="str">
        <f t="shared" si="1"/>
        <v>High Sales</v>
      </c>
      <c r="J18" s="1">
        <v>46071</v>
      </c>
      <c r="K18" t="s">
        <v>32</v>
      </c>
      <c r="L18" t="str">
        <f t="shared" si="2"/>
        <v>rudra premkumar</v>
      </c>
      <c r="M18" t="s">
        <v>16</v>
      </c>
      <c r="N18" t="s">
        <v>21</v>
      </c>
      <c r="O18">
        <v>1600</v>
      </c>
    </row>
    <row r="19" spans="1:17" x14ac:dyDescent="0.3">
      <c r="A19" s="1">
        <v>46093</v>
      </c>
      <c r="B19" t="s">
        <v>10</v>
      </c>
      <c r="C19" t="str">
        <f t="shared" si="0"/>
        <v>SLVSNTejaswi-kota</v>
      </c>
      <c r="E19" t="s">
        <v>16</v>
      </c>
      <c r="F19" t="s">
        <v>19</v>
      </c>
      <c r="G19">
        <v>800</v>
      </c>
      <c r="H19" t="str">
        <f t="shared" si="1"/>
        <v>Low Sales</v>
      </c>
      <c r="J19" s="1">
        <v>46075</v>
      </c>
      <c r="K19" t="s">
        <v>6</v>
      </c>
      <c r="L19" t="str">
        <f t="shared" si="2"/>
        <v>Samiksha Moharana</v>
      </c>
      <c r="M19" t="s">
        <v>18</v>
      </c>
      <c r="N19" t="s">
        <v>20</v>
      </c>
      <c r="O19">
        <v>1000</v>
      </c>
      <c r="Q19" t="s">
        <v>122</v>
      </c>
    </row>
    <row r="20" spans="1:17" x14ac:dyDescent="0.3">
      <c r="A20" s="1">
        <v>46099</v>
      </c>
      <c r="B20" t="s">
        <v>11</v>
      </c>
      <c r="C20" t="str">
        <f t="shared" si="0"/>
        <v>suma sri priya</v>
      </c>
      <c r="E20" t="s">
        <v>18</v>
      </c>
      <c r="F20" t="s">
        <v>21</v>
      </c>
      <c r="G20">
        <v>1550</v>
      </c>
      <c r="H20" t="str">
        <f t="shared" si="1"/>
        <v>High Sales</v>
      </c>
      <c r="J20" s="1">
        <v>46080</v>
      </c>
      <c r="K20" t="s">
        <v>7</v>
      </c>
      <c r="L20" t="str">
        <f t="shared" si="2"/>
        <v>Shivaprathap Singiri</v>
      </c>
      <c r="M20" t="s">
        <v>17</v>
      </c>
      <c r="N20" t="s">
        <v>20</v>
      </c>
      <c r="O20">
        <v>720</v>
      </c>
      <c r="Q20" t="s">
        <v>123</v>
      </c>
    </row>
    <row r="21" spans="1:17" x14ac:dyDescent="0.3">
      <c r="A21" s="3">
        <v>46103</v>
      </c>
      <c r="B21" t="s">
        <v>12</v>
      </c>
      <c r="C21" t="str">
        <f t="shared" si="0"/>
        <v>Thejaswini Padurthi</v>
      </c>
      <c r="E21" s="4" t="s">
        <v>17</v>
      </c>
      <c r="F21" s="4" t="s">
        <v>20</v>
      </c>
      <c r="G21" s="4">
        <v>980</v>
      </c>
      <c r="H21" t="str">
        <f t="shared" si="1"/>
        <v>High Sales</v>
      </c>
      <c r="J21" s="1">
        <v>46084</v>
      </c>
      <c r="K21" t="s">
        <v>8</v>
      </c>
      <c r="L21" t="str">
        <f t="shared" si="2"/>
        <v>Shriya Mechineni</v>
      </c>
      <c r="M21" t="s">
        <v>14</v>
      </c>
      <c r="N21" t="s">
        <v>21</v>
      </c>
      <c r="O21" s="13">
        <v>1700</v>
      </c>
    </row>
    <row r="22" spans="1:17" x14ac:dyDescent="0.3">
      <c r="J22" s="1">
        <v>46088</v>
      </c>
      <c r="K22" t="s">
        <v>9</v>
      </c>
      <c r="L22" t="str">
        <f t="shared" si="2"/>
        <v>Siri Mandadapu</v>
      </c>
      <c r="M22" t="s">
        <v>15</v>
      </c>
      <c r="N22" t="s">
        <v>20</v>
      </c>
      <c r="O22">
        <v>1050</v>
      </c>
    </row>
    <row r="23" spans="1:17" x14ac:dyDescent="0.3">
      <c r="J23" s="1">
        <v>46093</v>
      </c>
      <c r="K23" t="s">
        <v>10</v>
      </c>
      <c r="L23" t="str">
        <f t="shared" si="2"/>
        <v>SLVSNTejaswi-kota</v>
      </c>
      <c r="M23" t="s">
        <v>16</v>
      </c>
      <c r="N23" t="s">
        <v>19</v>
      </c>
      <c r="O23">
        <v>800</v>
      </c>
    </row>
    <row r="24" spans="1:17" x14ac:dyDescent="0.3">
      <c r="J24" s="1">
        <v>46099</v>
      </c>
      <c r="K24" t="s">
        <v>11</v>
      </c>
      <c r="L24" t="str">
        <f t="shared" si="2"/>
        <v>suma sri priya</v>
      </c>
      <c r="M24" t="s">
        <v>18</v>
      </c>
      <c r="N24" t="s">
        <v>21</v>
      </c>
      <c r="O24">
        <v>1550</v>
      </c>
    </row>
    <row r="25" spans="1:17" x14ac:dyDescent="0.3">
      <c r="J25" s="3">
        <v>46103</v>
      </c>
      <c r="K25" t="s">
        <v>12</v>
      </c>
      <c r="L25" t="str">
        <f t="shared" si="2"/>
        <v>Thejaswini Padurthi</v>
      </c>
      <c r="M25" s="4" t="s">
        <v>17</v>
      </c>
      <c r="N25" s="4" t="s">
        <v>20</v>
      </c>
      <c r="O25" s="4">
        <v>980</v>
      </c>
    </row>
  </sheetData>
  <mergeCells count="1">
    <mergeCell ref="J4:O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8E17-0B0C-4AEC-99A2-DDBCC0C5F090}">
  <dimension ref="A1:N20"/>
  <sheetViews>
    <sheetView workbookViewId="0">
      <selection activeCell="D19" sqref="D19"/>
    </sheetView>
  </sheetViews>
  <sheetFormatPr defaultRowHeight="14.4" x14ac:dyDescent="0.3"/>
  <cols>
    <col min="2" max="2" width="13.33203125" customWidth="1"/>
    <col min="3" max="3" width="15.6640625" customWidth="1"/>
    <col min="5" max="5" width="23.5546875" customWidth="1"/>
    <col min="6" max="6" width="20.109375" customWidth="1"/>
    <col min="9" max="9" width="12.109375" customWidth="1"/>
    <col min="10" max="10" width="13.109375" customWidth="1"/>
    <col min="11" max="11" width="16.6640625" customWidth="1"/>
    <col min="12" max="12" width="10.33203125" customWidth="1"/>
    <col min="13" max="13" width="19.33203125" customWidth="1"/>
  </cols>
  <sheetData>
    <row r="1" spans="1:14" x14ac:dyDescent="0.3">
      <c r="A1" s="28" t="s">
        <v>170</v>
      </c>
      <c r="B1" s="28"/>
      <c r="C1" s="28"/>
      <c r="D1" s="28"/>
      <c r="E1" s="28"/>
      <c r="F1" s="28"/>
      <c r="I1" s="20"/>
      <c r="J1" s="20"/>
      <c r="K1" s="20" t="s">
        <v>172</v>
      </c>
      <c r="L1" s="20"/>
      <c r="M1" s="20"/>
      <c r="N1" s="20"/>
    </row>
    <row r="2" spans="1:14" s="5" customFormat="1" x14ac:dyDescent="0.3">
      <c r="A2" s="8" t="s">
        <v>66</v>
      </c>
      <c r="B2" s="8" t="s">
        <v>81</v>
      </c>
      <c r="C2" s="8" t="s">
        <v>79</v>
      </c>
      <c r="D2" s="8" t="s">
        <v>80</v>
      </c>
      <c r="E2" s="16" t="s">
        <v>96</v>
      </c>
      <c r="F2" s="18" t="s">
        <v>65</v>
      </c>
      <c r="I2" s="8" t="s">
        <v>66</v>
      </c>
      <c r="J2" s="8" t="s">
        <v>81</v>
      </c>
      <c r="K2" s="8" t="s">
        <v>79</v>
      </c>
      <c r="L2" s="8" t="s">
        <v>80</v>
      </c>
      <c r="M2" s="21" t="s">
        <v>171</v>
      </c>
      <c r="N2" s="8" t="s">
        <v>96</v>
      </c>
    </row>
    <row r="3" spans="1:14" x14ac:dyDescent="0.3">
      <c r="A3" s="7" t="s">
        <v>67</v>
      </c>
      <c r="B3" s="7" t="s">
        <v>82</v>
      </c>
      <c r="C3" s="7" t="s">
        <v>74</v>
      </c>
      <c r="D3" s="7">
        <v>2</v>
      </c>
      <c r="E3" s="17" t="str">
        <f>VLOOKUP(B3,'Customer details'!A2:C10,2,FALSE)</f>
        <v>New York</v>
      </c>
      <c r="F3" s="19" t="str">
        <f>VLOOKUP('Order details'!B3,'Customer details'!A2:C10,3,FALSE)</f>
        <v>akshay sunkari</v>
      </c>
      <c r="I3" s="7" t="s">
        <v>67</v>
      </c>
      <c r="J3" s="7" t="s">
        <v>82</v>
      </c>
      <c r="K3" s="7" t="s">
        <v>74</v>
      </c>
      <c r="L3" s="7">
        <v>2</v>
      </c>
      <c r="M3" s="22" t="str">
        <f>_xlfn.XLOOKUP(J3,'Customer details'!A2:A10,'Customer details'!C2:C10,)</f>
        <v>akshay sunkari</v>
      </c>
      <c r="N3" s="7" t="str">
        <f>_xlfn.XLOOKUP(J3,'Customer details'!A2:A10,'Customer details'!B2:B10)</f>
        <v>New York</v>
      </c>
    </row>
    <row r="4" spans="1:14" x14ac:dyDescent="0.3">
      <c r="A4" s="7" t="s">
        <v>68</v>
      </c>
      <c r="B4" s="7" t="s">
        <v>84</v>
      </c>
      <c r="C4" s="7" t="s">
        <v>75</v>
      </c>
      <c r="D4" s="7">
        <v>5</v>
      </c>
      <c r="E4" s="17" t="str">
        <f>VLOOKUP(B4,'Customer details'!A3:C11,2,FALSE)</f>
        <v>Paris</v>
      </c>
      <c r="F4" s="19" t="str">
        <f>VLOOKUP('Order details'!B4,'Customer details'!A3:C11,3,FALSE)</f>
        <v>atluri charitha sri</v>
      </c>
      <c r="I4" s="7" t="s">
        <v>68</v>
      </c>
      <c r="J4" s="7" t="s">
        <v>84</v>
      </c>
      <c r="K4" s="7" t="s">
        <v>75</v>
      </c>
      <c r="L4" s="7">
        <v>5</v>
      </c>
      <c r="M4" s="22" t="str">
        <f>_xlfn.XLOOKUP(J4,'Customer details'!A3:A11,'Customer details'!C3:C11,)</f>
        <v>atluri charitha sri</v>
      </c>
      <c r="N4" s="7" t="str">
        <f>_xlfn.XLOOKUP(J4,'Customer details'!A3:A11,'Customer details'!B3:B11)</f>
        <v>Paris</v>
      </c>
    </row>
    <row r="5" spans="1:14" x14ac:dyDescent="0.3">
      <c r="A5" s="7" t="s">
        <v>69</v>
      </c>
      <c r="B5" s="7" t="s">
        <v>85</v>
      </c>
      <c r="C5" s="7" t="s">
        <v>76</v>
      </c>
      <c r="D5" s="7">
        <v>3</v>
      </c>
      <c r="E5" s="17" t="str">
        <f>VLOOKUP(B5,'Customer details'!A4:C12,2,FALSE)</f>
        <v>Cairo</v>
      </c>
      <c r="F5" s="19" t="str">
        <f>VLOOKUP('Order details'!B5,'Customer details'!A4:C12,3,FALSE)</f>
        <v>b ramakrishna</v>
      </c>
      <c r="I5" s="7" t="s">
        <v>69</v>
      </c>
      <c r="J5" s="7" t="s">
        <v>85</v>
      </c>
      <c r="K5" s="7" t="s">
        <v>76</v>
      </c>
      <c r="L5" s="7">
        <v>3</v>
      </c>
      <c r="M5" s="22" t="str">
        <f>_xlfn.XLOOKUP(J5,'Customer details'!A4:A12,'Customer details'!C4:C12,)</f>
        <v>b ramakrishna</v>
      </c>
      <c r="N5" s="7" t="str">
        <f>_xlfn.XLOOKUP(J5,'Customer details'!A4:A12,'Customer details'!B4:B12)</f>
        <v>Cairo</v>
      </c>
    </row>
    <row r="6" spans="1:14" x14ac:dyDescent="0.3">
      <c r="A6" s="7" t="s">
        <v>70</v>
      </c>
      <c r="B6" s="7" t="s">
        <v>88</v>
      </c>
      <c r="C6" s="7" t="s">
        <v>78</v>
      </c>
      <c r="D6" s="7">
        <v>2</v>
      </c>
      <c r="E6" s="17" t="str">
        <f>VLOOKUP(B6,'Customer details'!A5:C13,2,FALSE)</f>
        <v>London</v>
      </c>
      <c r="F6" s="19" t="str">
        <f>VLOOKUP('Order details'!B6,'Customer details'!A5:C13,3,FALSE)</f>
        <v>chandana peddapelly</v>
      </c>
      <c r="I6" s="7" t="s">
        <v>70</v>
      </c>
      <c r="J6" s="7" t="s">
        <v>88</v>
      </c>
      <c r="K6" s="7" t="s">
        <v>78</v>
      </c>
      <c r="L6" s="7">
        <v>2</v>
      </c>
      <c r="M6" s="22" t="str">
        <f>_xlfn.XLOOKUP(J6,'Customer details'!A5:A13,'Customer details'!C5:C13,)</f>
        <v>chandana peddapelly</v>
      </c>
      <c r="N6" s="7" t="str">
        <f>_xlfn.XLOOKUP(J6,'Customer details'!A5:A13,'Customer details'!B5:B13)</f>
        <v>London</v>
      </c>
    </row>
    <row r="7" spans="1:14" x14ac:dyDescent="0.3">
      <c r="A7" s="7" t="s">
        <v>71</v>
      </c>
      <c r="B7" s="7" t="s">
        <v>87</v>
      </c>
      <c r="C7" s="7" t="s">
        <v>74</v>
      </c>
      <c r="D7" s="7">
        <v>2</v>
      </c>
      <c r="E7" s="17" t="str">
        <f>VLOOKUP(B7,'Customer details'!A6:C14,2,FALSE)</f>
        <v>New York</v>
      </c>
      <c r="F7" s="19" t="str">
        <f>VLOOKUP('Order details'!B7,'Customer details'!A6:C14,3,FALSE)</f>
        <v xml:space="preserve">	brijesh mali</v>
      </c>
      <c r="I7" s="7" t="s">
        <v>71</v>
      </c>
      <c r="J7" s="7" t="s">
        <v>87</v>
      </c>
      <c r="K7" s="7" t="s">
        <v>74</v>
      </c>
      <c r="L7" s="7">
        <v>2</v>
      </c>
      <c r="M7" s="22" t="str">
        <f>_xlfn.XLOOKUP(J7,'Customer details'!A6:A14,'Customer details'!C6:C14,)</f>
        <v xml:space="preserve">	brijesh mali</v>
      </c>
      <c r="N7" s="7" t="str">
        <f>_xlfn.XLOOKUP(J7,'Customer details'!A6:A14,'Customer details'!B6:B14)</f>
        <v>New York</v>
      </c>
    </row>
    <row r="8" spans="1:14" x14ac:dyDescent="0.3">
      <c r="A8" s="7" t="s">
        <v>72</v>
      </c>
      <c r="B8" s="7" t="s">
        <v>89</v>
      </c>
      <c r="C8" s="7" t="s">
        <v>76</v>
      </c>
      <c r="D8" s="7">
        <v>3</v>
      </c>
      <c r="E8" s="17" t="str">
        <f>VLOOKUP(B8,'Customer details'!A7:C15,2,FALSE)</f>
        <v>Paris</v>
      </c>
      <c r="F8" s="19" t="str">
        <f>VLOOKUP('Order details'!B8,'Customer details'!A7:C15,3,FALSE)</f>
        <v>dinesh kumar bolla</v>
      </c>
      <c r="I8" s="7" t="s">
        <v>72</v>
      </c>
      <c r="J8" s="7" t="s">
        <v>89</v>
      </c>
      <c r="K8" s="7" t="s">
        <v>76</v>
      </c>
      <c r="L8" s="7">
        <v>3</v>
      </c>
      <c r="M8" s="22" t="str">
        <f>_xlfn.XLOOKUP(J8,'Customer details'!A7:A15,'Customer details'!C7:C15,)</f>
        <v>dinesh kumar bolla</v>
      </c>
      <c r="N8" s="7" t="str">
        <f>_xlfn.XLOOKUP(J8,'Customer details'!A7:A15,'Customer details'!B7:B15)</f>
        <v>Paris</v>
      </c>
    </row>
    <row r="9" spans="1:14" x14ac:dyDescent="0.3">
      <c r="A9" s="7" t="s">
        <v>73</v>
      </c>
      <c r="B9" s="7" t="s">
        <v>90</v>
      </c>
      <c r="C9" s="7" t="s">
        <v>77</v>
      </c>
      <c r="D9" s="7">
        <v>1</v>
      </c>
      <c r="E9" s="17" t="str">
        <f>VLOOKUP(B9,'Customer details'!A8:C16,2,FALSE)</f>
        <v>Cairo</v>
      </c>
      <c r="F9" s="19" t="str">
        <f>VLOOKUP('Order details'!B9,'Customer details'!A8:C16,3,FALSE)</f>
        <v>j sujay</v>
      </c>
      <c r="I9" s="7" t="s">
        <v>73</v>
      </c>
      <c r="J9" s="7" t="s">
        <v>90</v>
      </c>
      <c r="K9" s="7" t="s">
        <v>77</v>
      </c>
      <c r="L9" s="7">
        <v>1</v>
      </c>
      <c r="M9" s="22" t="str">
        <f>_xlfn.XLOOKUP(J9,'Customer details'!A8:A16,'Customer details'!C8:C16,)</f>
        <v>j sujay</v>
      </c>
      <c r="N9" s="7" t="str">
        <f>_xlfn.XLOOKUP(J9,'Customer details'!A8:A16,'Customer details'!B8:B16)</f>
        <v>Cairo</v>
      </c>
    </row>
    <row r="10" spans="1:14" x14ac:dyDescent="0.3">
      <c r="C10" s="4"/>
      <c r="D10" s="4"/>
    </row>
    <row r="12" spans="1:14" x14ac:dyDescent="0.3">
      <c r="A12" s="29" t="s">
        <v>174</v>
      </c>
      <c r="B12" s="29"/>
      <c r="C12" s="29"/>
      <c r="D12" s="29"/>
      <c r="E12" s="29"/>
      <c r="F12" s="29"/>
    </row>
    <row r="13" spans="1:14" ht="28.8" x14ac:dyDescent="0.3">
      <c r="A13" s="23" t="s">
        <v>108</v>
      </c>
      <c r="B13" s="23" t="s">
        <v>82</v>
      </c>
      <c r="C13" s="23" t="s">
        <v>83</v>
      </c>
      <c r="D13" s="23" t="s">
        <v>84</v>
      </c>
      <c r="E13" s="23" t="s">
        <v>85</v>
      </c>
      <c r="F13" s="23" t="s">
        <v>86</v>
      </c>
      <c r="I13" s="23" t="s">
        <v>81</v>
      </c>
      <c r="J13" s="23" t="s">
        <v>96</v>
      </c>
      <c r="K13" s="23"/>
      <c r="M13" t="s">
        <v>173</v>
      </c>
    </row>
    <row r="14" spans="1:14" x14ac:dyDescent="0.3">
      <c r="A14" s="23" t="s">
        <v>13</v>
      </c>
      <c r="B14" s="7" t="s">
        <v>99</v>
      </c>
      <c r="C14" s="7" t="s">
        <v>100</v>
      </c>
      <c r="D14" s="7" t="s">
        <v>101</v>
      </c>
      <c r="E14" s="7" t="s">
        <v>102</v>
      </c>
      <c r="F14" s="7" t="s">
        <v>103</v>
      </c>
      <c r="I14" s="7" t="s">
        <v>82</v>
      </c>
      <c r="J14" s="7" t="str">
        <f>HLOOKUP(I14,$B$13:$F$15,3,FALSE)</f>
        <v>New York</v>
      </c>
      <c r="K14" s="7" t="str">
        <f>HLOOKUP(I14,$B$13:$F$15,2,FALSE)</f>
        <v>akshay sunkari</v>
      </c>
    </row>
    <row r="15" spans="1:14" x14ac:dyDescent="0.3">
      <c r="A15" s="23" t="s">
        <v>96</v>
      </c>
      <c r="B15" s="24" t="s">
        <v>91</v>
      </c>
      <c r="C15" s="24" t="s">
        <v>92</v>
      </c>
      <c r="D15" s="24" t="s">
        <v>93</v>
      </c>
      <c r="E15" s="24" t="s">
        <v>94</v>
      </c>
      <c r="F15" s="24" t="s">
        <v>95</v>
      </c>
      <c r="I15" s="24" t="s">
        <v>83</v>
      </c>
      <c r="J15" s="7" t="str">
        <f t="shared" ref="J15:J18" si="0">HLOOKUP(I15,$B$13:$F$15,3,FALSE)</f>
        <v>London</v>
      </c>
      <c r="K15" s="7" t="str">
        <f t="shared" ref="K15:K18" si="1">HLOOKUP(I15,$B$13:$F$15,2,FALSE)</f>
        <v>anvesh hirve</v>
      </c>
    </row>
    <row r="16" spans="1:14" x14ac:dyDescent="0.3">
      <c r="I16" s="7" t="s">
        <v>84</v>
      </c>
      <c r="J16" s="7" t="str">
        <f t="shared" si="0"/>
        <v>Paris</v>
      </c>
      <c r="K16" s="7" t="str">
        <f t="shared" si="1"/>
        <v>atluri charitha sri</v>
      </c>
    </row>
    <row r="17" spans="9:11" x14ac:dyDescent="0.3">
      <c r="I17" s="7" t="s">
        <v>85</v>
      </c>
      <c r="J17" s="7" t="str">
        <f t="shared" si="0"/>
        <v>Cairo</v>
      </c>
      <c r="K17" s="7" t="str">
        <f t="shared" si="1"/>
        <v>b ramakrishna</v>
      </c>
    </row>
    <row r="18" spans="9:11" x14ac:dyDescent="0.3">
      <c r="I18" s="7" t="s">
        <v>86</v>
      </c>
      <c r="J18" s="7" t="str">
        <f t="shared" si="0"/>
        <v>Rome</v>
      </c>
      <c r="K18" s="7" t="str">
        <f t="shared" si="1"/>
        <v>bhavana koneti</v>
      </c>
    </row>
    <row r="20" spans="9:11" x14ac:dyDescent="0.3">
      <c r="I20" t="s">
        <v>85</v>
      </c>
      <c r="J20" t="str">
        <f>HLOOKUP(I20,$B$13:$F$15,3,FALSE)</f>
        <v>Cairo</v>
      </c>
    </row>
  </sheetData>
  <mergeCells count="2">
    <mergeCell ref="A1:F1"/>
    <mergeCell ref="A12:F1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465E-9B61-4AD6-96E5-8A9DB953F880}">
  <dimension ref="A1:N7"/>
  <sheetViews>
    <sheetView workbookViewId="0">
      <selection activeCell="B18" sqref="A1:XFD1048576"/>
    </sheetView>
  </sheetViews>
  <sheetFormatPr defaultRowHeight="14.4" x14ac:dyDescent="0.3"/>
  <cols>
    <col min="1" max="1" width="21.21875" customWidth="1"/>
    <col min="2" max="2" width="18.77734375" customWidth="1"/>
    <col min="12" max="12" width="18.33203125" customWidth="1"/>
    <col min="14" max="14" width="10.33203125" customWidth="1"/>
  </cols>
  <sheetData>
    <row r="1" spans="1:14" x14ac:dyDescent="0.3">
      <c r="A1" s="5" t="s">
        <v>175</v>
      </c>
      <c r="B1" s="5" t="s">
        <v>176</v>
      </c>
      <c r="E1" t="s">
        <v>184</v>
      </c>
      <c r="F1" t="s">
        <v>187</v>
      </c>
      <c r="L1" t="s">
        <v>186</v>
      </c>
      <c r="N1" t="s">
        <v>124</v>
      </c>
    </row>
    <row r="2" spans="1:14" x14ac:dyDescent="0.3">
      <c r="A2" s="2" t="s">
        <v>62</v>
      </c>
      <c r="B2" t="s">
        <v>177</v>
      </c>
      <c r="C2" t="s">
        <v>180</v>
      </c>
      <c r="D2" t="s">
        <v>177</v>
      </c>
      <c r="E2">
        <v>21000</v>
      </c>
      <c r="L2" t="s">
        <v>183</v>
      </c>
      <c r="N2" t="s">
        <v>189</v>
      </c>
    </row>
    <row r="3" spans="1:14" x14ac:dyDescent="0.3">
      <c r="A3" t="s">
        <v>97</v>
      </c>
      <c r="B3" t="s">
        <v>180</v>
      </c>
      <c r="C3" t="s">
        <v>177</v>
      </c>
      <c r="D3" t="s">
        <v>183</v>
      </c>
      <c r="E3">
        <v>50000</v>
      </c>
      <c r="L3" t="s">
        <v>180</v>
      </c>
      <c r="N3" t="s">
        <v>183</v>
      </c>
    </row>
    <row r="4" spans="1:14" x14ac:dyDescent="0.3">
      <c r="A4" t="s">
        <v>63</v>
      </c>
      <c r="B4" t="s">
        <v>177</v>
      </c>
      <c r="C4" t="s">
        <v>185</v>
      </c>
      <c r="L4" t="s">
        <v>177</v>
      </c>
      <c r="N4" t="s">
        <v>180</v>
      </c>
    </row>
    <row r="5" spans="1:14" x14ac:dyDescent="0.3">
      <c r="A5" t="s">
        <v>64</v>
      </c>
      <c r="B5" t="s">
        <v>182</v>
      </c>
      <c r="C5" t="s">
        <v>177</v>
      </c>
      <c r="G5" t="s">
        <v>178</v>
      </c>
      <c r="L5" t="s">
        <v>181</v>
      </c>
      <c r="N5" t="s">
        <v>177</v>
      </c>
    </row>
    <row r="6" spans="1:14" x14ac:dyDescent="0.3">
      <c r="A6" t="s">
        <v>98</v>
      </c>
      <c r="B6" t="s">
        <v>180</v>
      </c>
      <c r="C6" t="s">
        <v>180</v>
      </c>
      <c r="L6" t="s">
        <v>188</v>
      </c>
    </row>
    <row r="7" spans="1:14" x14ac:dyDescent="0.3">
      <c r="A7" t="s">
        <v>125</v>
      </c>
      <c r="B7" t="s">
        <v>177</v>
      </c>
      <c r="C7" t="s">
        <v>182</v>
      </c>
      <c r="I7" t="s">
        <v>179</v>
      </c>
    </row>
  </sheetData>
  <dataValidations count="6">
    <dataValidation type="list" allowBlank="1" showDropDown="1" showInputMessage="1" showErrorMessage="1" sqref="B2:B7" xr:uid="{8E940A27-2E4B-4B22-9791-0103014B4DA5}">
      <formula1>"HR,IT,Finance"</formula1>
    </dataValidation>
    <dataValidation type="list" allowBlank="1" showInputMessage="1" showErrorMessage="1" sqref="C2:C6" xr:uid="{516DC6D2-CCBF-4D7C-90AB-A42E4A135FC3}">
      <formula1>"HR,IT,FI"</formula1>
    </dataValidation>
    <dataValidation type="list" allowBlank="1" showInputMessage="1" showErrorMessage="1" errorTitle="Department Name" error="IT should Dhort names" sqref="D2:D7" xr:uid="{3722018B-2F1D-48E1-828A-CD90CDFD8FDF}">
      <formula1>"HR,IT,Finace,SC,"</formula1>
    </dataValidation>
    <dataValidation type="whole" allowBlank="1" showInputMessage="1" showErrorMessage="1" promptTitle="Salary Range" prompt="Values Between 20000 to 50000" sqref="E2:E7" xr:uid="{E96660A4-ADD0-4B34-A34C-F8EE80D539E2}">
      <formula1>20000</formula1>
      <formula2>50000</formula2>
    </dataValidation>
    <dataValidation type="list" allowBlank="1" showInputMessage="1" showErrorMessage="1" sqref="C7" xr:uid="{5A1424CD-C1F4-489F-A4B5-0D38917B1183}">
      <formula1>"HR,IT,FI,SC"</formula1>
    </dataValidation>
    <dataValidation type="list" allowBlank="1" showInputMessage="1" showErrorMessage="1" sqref="F2:F7" xr:uid="{7A449B37-DB0B-4248-B3FA-26E8E559B5F4}">
      <formula1>$L$2:$L$6</formula1>
    </dataValidation>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F914E-AA4E-4BE6-A7C6-EF4021602828}">
  <dimension ref="A1:D11"/>
  <sheetViews>
    <sheetView workbookViewId="0">
      <selection activeCell="D16" sqref="A1:XFD1048576"/>
    </sheetView>
  </sheetViews>
  <sheetFormatPr defaultRowHeight="14.4" x14ac:dyDescent="0.3"/>
  <cols>
    <col min="1" max="1" width="13.44140625" customWidth="1"/>
    <col min="3" max="3" width="26.21875" customWidth="1"/>
  </cols>
  <sheetData>
    <row r="1" spans="1:4" x14ac:dyDescent="0.3">
      <c r="A1" s="7" t="s">
        <v>81</v>
      </c>
      <c r="B1" s="7" t="s">
        <v>96</v>
      </c>
      <c r="C1" s="8" t="s">
        <v>65</v>
      </c>
      <c r="D1" s="7"/>
    </row>
    <row r="2" spans="1:4" x14ac:dyDescent="0.3">
      <c r="A2" s="7" t="s">
        <v>82</v>
      </c>
      <c r="B2" s="7" t="s">
        <v>91</v>
      </c>
      <c r="C2" s="7" t="s">
        <v>99</v>
      </c>
      <c r="D2" s="7"/>
    </row>
    <row r="3" spans="1:4" x14ac:dyDescent="0.3">
      <c r="A3" s="7" t="s">
        <v>83</v>
      </c>
      <c r="B3" s="7" t="s">
        <v>92</v>
      </c>
      <c r="C3" s="7" t="s">
        <v>100</v>
      </c>
      <c r="D3" s="7"/>
    </row>
    <row r="4" spans="1:4" x14ac:dyDescent="0.3">
      <c r="A4" s="7" t="s">
        <v>84</v>
      </c>
      <c r="B4" s="7" t="s">
        <v>93</v>
      </c>
      <c r="C4" s="7" t="s">
        <v>101</v>
      </c>
      <c r="D4" s="7"/>
    </row>
    <row r="5" spans="1:4" x14ac:dyDescent="0.3">
      <c r="A5" s="7" t="s">
        <v>85</v>
      </c>
      <c r="B5" s="7" t="s">
        <v>94</v>
      </c>
      <c r="C5" s="7" t="s">
        <v>102</v>
      </c>
      <c r="D5" s="7"/>
    </row>
    <row r="6" spans="1:4" x14ac:dyDescent="0.3">
      <c r="A6" s="7" t="s">
        <v>86</v>
      </c>
      <c r="B6" s="7" t="s">
        <v>95</v>
      </c>
      <c r="C6" s="7" t="s">
        <v>103</v>
      </c>
      <c r="D6" s="7"/>
    </row>
    <row r="7" spans="1:4" x14ac:dyDescent="0.3">
      <c r="A7" s="7" t="s">
        <v>87</v>
      </c>
      <c r="B7" s="7" t="s">
        <v>91</v>
      </c>
      <c r="C7" s="7" t="s">
        <v>104</v>
      </c>
      <c r="D7" s="7"/>
    </row>
    <row r="8" spans="1:4" x14ac:dyDescent="0.3">
      <c r="A8" s="7" t="s">
        <v>88</v>
      </c>
      <c r="B8" s="7" t="s">
        <v>92</v>
      </c>
      <c r="C8" s="7" t="s">
        <v>105</v>
      </c>
      <c r="D8" s="7"/>
    </row>
    <row r="9" spans="1:4" x14ac:dyDescent="0.3">
      <c r="A9" s="7" t="s">
        <v>89</v>
      </c>
      <c r="B9" s="7" t="s">
        <v>93</v>
      </c>
      <c r="C9" s="7" t="s">
        <v>106</v>
      </c>
      <c r="D9" s="7"/>
    </row>
    <row r="10" spans="1:4" x14ac:dyDescent="0.3">
      <c r="A10" s="7" t="s">
        <v>90</v>
      </c>
      <c r="B10" s="7" t="s">
        <v>94</v>
      </c>
      <c r="C10" s="7" t="s">
        <v>107</v>
      </c>
      <c r="D10" s="7"/>
    </row>
    <row r="11" spans="1:4" x14ac:dyDescent="0.3">
      <c r="B11" s="9"/>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2CA6-FF20-41BC-B065-1D8436CA9D50}">
  <dimension ref="A1:J8"/>
  <sheetViews>
    <sheetView workbookViewId="0">
      <selection sqref="A1:F4"/>
    </sheetView>
  </sheetViews>
  <sheetFormatPr defaultRowHeight="14.4" x14ac:dyDescent="0.3"/>
  <cols>
    <col min="1" max="1" width="13.6640625" customWidth="1"/>
    <col min="2" max="2" width="15.88671875" customWidth="1"/>
    <col min="3" max="3" width="16.5546875" customWidth="1"/>
    <col min="4" max="4" width="17.109375" customWidth="1"/>
    <col min="5" max="5" width="18" customWidth="1"/>
    <col min="6" max="6" width="12.6640625" customWidth="1"/>
    <col min="9" max="9" width="12" customWidth="1"/>
  </cols>
  <sheetData>
    <row r="1" spans="1:10" ht="28.8" x14ac:dyDescent="0.3">
      <c r="A1" s="10" t="s">
        <v>108</v>
      </c>
      <c r="B1" s="10" t="s">
        <v>82</v>
      </c>
      <c r="C1" s="10" t="s">
        <v>83</v>
      </c>
      <c r="D1" s="10" t="s">
        <v>84</v>
      </c>
      <c r="E1" s="10" t="s">
        <v>85</v>
      </c>
      <c r="F1" s="10" t="s">
        <v>86</v>
      </c>
    </row>
    <row r="2" spans="1:10" x14ac:dyDescent="0.3">
      <c r="A2" s="10" t="s">
        <v>13</v>
      </c>
      <c r="B2" s="7" t="s">
        <v>99</v>
      </c>
      <c r="C2" s="7" t="s">
        <v>100</v>
      </c>
      <c r="D2" s="7" t="s">
        <v>101</v>
      </c>
      <c r="E2" s="7" t="s">
        <v>102</v>
      </c>
      <c r="F2" s="7" t="s">
        <v>103</v>
      </c>
      <c r="H2" s="11"/>
      <c r="I2" s="11"/>
      <c r="J2" s="11"/>
    </row>
    <row r="3" spans="1:10" x14ac:dyDescent="0.3">
      <c r="A3" s="10" t="s">
        <v>96</v>
      </c>
      <c r="B3" s="11" t="s">
        <v>91</v>
      </c>
      <c r="C3" s="11" t="s">
        <v>92</v>
      </c>
      <c r="D3" s="11" t="s">
        <v>93</v>
      </c>
      <c r="E3" s="11" t="s">
        <v>94</v>
      </c>
      <c r="F3" s="11" t="s">
        <v>95</v>
      </c>
      <c r="H3" s="11"/>
      <c r="I3" s="11"/>
    </row>
    <row r="4" spans="1:10" x14ac:dyDescent="0.3">
      <c r="H4" s="11"/>
      <c r="I4" s="11"/>
    </row>
    <row r="5" spans="1:10" x14ac:dyDescent="0.3">
      <c r="H5" s="11"/>
      <c r="I5" s="11"/>
    </row>
    <row r="6" spans="1:10" x14ac:dyDescent="0.3">
      <c r="H6" s="11"/>
      <c r="I6" s="11"/>
    </row>
    <row r="7" spans="1:10" x14ac:dyDescent="0.3">
      <c r="H7" s="11"/>
      <c r="I7" s="11"/>
    </row>
    <row r="8" spans="1:10" x14ac:dyDescent="0.3">
      <c r="I8" s="11"/>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17B4-E6C1-4815-B644-6B71DEF7CD75}">
  <dimension ref="A1:K102"/>
  <sheetViews>
    <sheetView workbookViewId="0">
      <selection activeCell="N6" sqref="A1:XFD1048576"/>
    </sheetView>
  </sheetViews>
  <sheetFormatPr defaultRowHeight="14.4" x14ac:dyDescent="0.3"/>
  <cols>
    <col min="1" max="1" width="15.88671875" customWidth="1"/>
    <col min="2" max="2" width="20.44140625" customWidth="1"/>
    <col min="3" max="3" width="16.88671875" customWidth="1"/>
    <col min="4" max="4" width="21.21875" customWidth="1"/>
    <col min="5" max="5" width="16.21875" customWidth="1"/>
    <col min="6" max="6" width="17.88671875" customWidth="1"/>
    <col min="7" max="7" width="14.109375" customWidth="1"/>
    <col min="8" max="8" width="12.109375" customWidth="1"/>
    <col min="9" max="9" width="17.109375" customWidth="1"/>
  </cols>
  <sheetData>
    <row r="1" spans="1:11" x14ac:dyDescent="0.3">
      <c r="A1" s="14" t="s">
        <v>128</v>
      </c>
      <c r="B1" s="14" t="s">
        <v>22</v>
      </c>
      <c r="C1" s="14" t="s">
        <v>129</v>
      </c>
      <c r="D1" s="14" t="s">
        <v>23</v>
      </c>
      <c r="E1" s="14" t="s">
        <v>130</v>
      </c>
      <c r="F1" s="14" t="s">
        <v>80</v>
      </c>
      <c r="G1" s="14" t="s">
        <v>131</v>
      </c>
      <c r="H1" s="14" t="s">
        <v>24</v>
      </c>
      <c r="I1" s="14" t="s">
        <v>193</v>
      </c>
      <c r="J1" s="14" t="s">
        <v>124</v>
      </c>
      <c r="K1" s="14" t="s">
        <v>197</v>
      </c>
    </row>
    <row r="2" spans="1:11" x14ac:dyDescent="0.3">
      <c r="A2" s="15">
        <v>45700</v>
      </c>
      <c r="B2" t="s">
        <v>132</v>
      </c>
      <c r="C2" t="s">
        <v>111</v>
      </c>
      <c r="D2" t="s">
        <v>76</v>
      </c>
      <c r="E2" t="s">
        <v>133</v>
      </c>
      <c r="F2">
        <v>7</v>
      </c>
      <c r="G2">
        <v>45</v>
      </c>
      <c r="H2">
        <v>315</v>
      </c>
      <c r="I2" t="str">
        <f>TEXT(Table1[[#This Row],[Order Date]],"MMMM")</f>
        <v>February</v>
      </c>
      <c r="J2">
        <f>MONTH(Table1[[#This Row],[Order Date]])</f>
        <v>2</v>
      </c>
      <c r="K2" t="str">
        <f>TEXT(Table1[[#This Row],[Order Date]],"MMM")</f>
        <v>Feb</v>
      </c>
    </row>
    <row r="3" spans="1:11" x14ac:dyDescent="0.3">
      <c r="A3" s="15">
        <v>45727</v>
      </c>
      <c r="B3" t="s">
        <v>132</v>
      </c>
      <c r="C3" t="s">
        <v>112</v>
      </c>
      <c r="D3" t="s">
        <v>77</v>
      </c>
      <c r="E3" t="s">
        <v>134</v>
      </c>
      <c r="F3">
        <v>6</v>
      </c>
      <c r="G3">
        <v>350</v>
      </c>
      <c r="H3">
        <v>2100</v>
      </c>
      <c r="I3" t="str">
        <f>TEXT(Table1[[#This Row],[Order Date]],"MMMM")</f>
        <v>March</v>
      </c>
      <c r="J3">
        <f>MONTH(Table1[[#This Row],[Order Date]])</f>
        <v>3</v>
      </c>
      <c r="K3" t="str">
        <f>TEXT(Table1[[#This Row],[Order Date]],"MMM")</f>
        <v>Mar</v>
      </c>
    </row>
    <row r="4" spans="1:11" x14ac:dyDescent="0.3">
      <c r="A4" s="15">
        <v>45663</v>
      </c>
      <c r="B4" t="s">
        <v>135</v>
      </c>
      <c r="C4" t="s">
        <v>111</v>
      </c>
      <c r="D4" t="s">
        <v>77</v>
      </c>
      <c r="E4" t="s">
        <v>134</v>
      </c>
      <c r="F4">
        <v>7</v>
      </c>
      <c r="G4">
        <v>350</v>
      </c>
      <c r="H4">
        <v>2450</v>
      </c>
      <c r="I4" t="str">
        <f>TEXT(Table1[[#This Row],[Order Date]],"MMMM")</f>
        <v>January</v>
      </c>
      <c r="J4">
        <f>MONTH(Table1[[#This Row],[Order Date]])</f>
        <v>1</v>
      </c>
      <c r="K4" t="str">
        <f>TEXT(Table1[[#This Row],[Order Date]],"MMM")</f>
        <v>Jan</v>
      </c>
    </row>
    <row r="5" spans="1:11" x14ac:dyDescent="0.3">
      <c r="A5" s="15">
        <v>45689</v>
      </c>
      <c r="B5" t="s">
        <v>132</v>
      </c>
      <c r="C5" t="s">
        <v>111</v>
      </c>
      <c r="D5" t="s">
        <v>77</v>
      </c>
      <c r="E5" t="s">
        <v>134</v>
      </c>
      <c r="F5">
        <v>7</v>
      </c>
      <c r="G5">
        <v>350</v>
      </c>
      <c r="H5">
        <v>2450</v>
      </c>
      <c r="I5" t="str">
        <f>TEXT(Table1[[#This Row],[Order Date]],"MMMM")</f>
        <v>February</v>
      </c>
      <c r="J5">
        <f>MONTH(Table1[[#This Row],[Order Date]])</f>
        <v>2</v>
      </c>
      <c r="K5" t="str">
        <f>TEXT(Table1[[#This Row],[Order Date]],"MMM")</f>
        <v>Feb</v>
      </c>
    </row>
    <row r="6" spans="1:11" x14ac:dyDescent="0.3">
      <c r="A6" s="15">
        <v>45687</v>
      </c>
      <c r="B6" t="s">
        <v>132</v>
      </c>
      <c r="C6" t="s">
        <v>112</v>
      </c>
      <c r="D6" t="s">
        <v>74</v>
      </c>
      <c r="E6" t="s">
        <v>134</v>
      </c>
      <c r="F6">
        <v>7</v>
      </c>
      <c r="G6">
        <v>900</v>
      </c>
      <c r="H6">
        <v>6300</v>
      </c>
      <c r="I6" t="str">
        <f>TEXT(Table1[[#This Row],[Order Date]],"MMMM")</f>
        <v>January</v>
      </c>
      <c r="J6">
        <f>MONTH(Table1[[#This Row],[Order Date]])</f>
        <v>1</v>
      </c>
      <c r="K6" t="str">
        <f>TEXT(Table1[[#This Row],[Order Date]],"MMM")</f>
        <v>Jan</v>
      </c>
    </row>
    <row r="7" spans="1:11" x14ac:dyDescent="0.3">
      <c r="A7" s="15">
        <v>45664</v>
      </c>
      <c r="B7" t="s">
        <v>135</v>
      </c>
      <c r="C7" t="s">
        <v>109</v>
      </c>
      <c r="D7" t="s">
        <v>76</v>
      </c>
      <c r="E7" t="s">
        <v>133</v>
      </c>
      <c r="F7">
        <v>5</v>
      </c>
      <c r="G7">
        <v>45</v>
      </c>
      <c r="H7">
        <v>225</v>
      </c>
      <c r="I7" t="str">
        <f>TEXT(Table1[[#This Row],[Order Date]],"MMMM")</f>
        <v>January</v>
      </c>
      <c r="J7">
        <f>MONTH(Table1[[#This Row],[Order Date]])</f>
        <v>1</v>
      </c>
      <c r="K7" t="str">
        <f>TEXT(Table1[[#This Row],[Order Date]],"MMM")</f>
        <v>Jan</v>
      </c>
    </row>
    <row r="8" spans="1:11" x14ac:dyDescent="0.3">
      <c r="A8" s="15">
        <v>45728</v>
      </c>
      <c r="B8" t="s">
        <v>136</v>
      </c>
      <c r="C8" t="s">
        <v>111</v>
      </c>
      <c r="D8" t="s">
        <v>77</v>
      </c>
      <c r="E8" t="s">
        <v>134</v>
      </c>
      <c r="F8">
        <v>5</v>
      </c>
      <c r="G8">
        <v>350</v>
      </c>
      <c r="H8">
        <v>1750</v>
      </c>
      <c r="I8" t="str">
        <f>TEXT(Table1[[#This Row],[Order Date]],"MMMM")</f>
        <v>March</v>
      </c>
      <c r="J8">
        <f>MONTH(Table1[[#This Row],[Order Date]])</f>
        <v>3</v>
      </c>
      <c r="K8" t="str">
        <f>TEXT(Table1[[#This Row],[Order Date]],"MMM")</f>
        <v>Mar</v>
      </c>
    </row>
    <row r="9" spans="1:11" x14ac:dyDescent="0.3">
      <c r="A9" s="15">
        <v>45733</v>
      </c>
      <c r="B9" t="s">
        <v>132</v>
      </c>
      <c r="C9" t="s">
        <v>111</v>
      </c>
      <c r="D9" t="s">
        <v>75</v>
      </c>
      <c r="E9" t="s">
        <v>133</v>
      </c>
      <c r="F9">
        <v>6</v>
      </c>
      <c r="G9">
        <v>25</v>
      </c>
      <c r="H9">
        <v>150</v>
      </c>
      <c r="I9" t="str">
        <f>TEXT(Table1[[#This Row],[Order Date]],"MMMM")</f>
        <v>March</v>
      </c>
      <c r="J9">
        <f>MONTH(Table1[[#This Row],[Order Date]])</f>
        <v>3</v>
      </c>
      <c r="K9" t="str">
        <f>TEXT(Table1[[#This Row],[Order Date]],"MMM")</f>
        <v>Mar</v>
      </c>
    </row>
    <row r="10" spans="1:11" x14ac:dyDescent="0.3">
      <c r="A10" s="15">
        <v>45731</v>
      </c>
      <c r="B10" t="s">
        <v>135</v>
      </c>
      <c r="C10" t="s">
        <v>137</v>
      </c>
      <c r="D10" t="s">
        <v>74</v>
      </c>
      <c r="E10" t="s">
        <v>134</v>
      </c>
      <c r="F10">
        <v>4</v>
      </c>
      <c r="G10">
        <v>900</v>
      </c>
      <c r="H10">
        <v>3600</v>
      </c>
      <c r="I10" t="str">
        <f>TEXT(Table1[[#This Row],[Order Date]],"MMMM")</f>
        <v>March</v>
      </c>
      <c r="J10">
        <f>MONTH(Table1[[#This Row],[Order Date]])</f>
        <v>3</v>
      </c>
      <c r="K10" t="str">
        <f>TEXT(Table1[[#This Row],[Order Date]],"MMM")</f>
        <v>Mar</v>
      </c>
    </row>
    <row r="11" spans="1:11" x14ac:dyDescent="0.3">
      <c r="A11" s="15">
        <v>45699</v>
      </c>
      <c r="B11" t="s">
        <v>138</v>
      </c>
      <c r="C11" t="s">
        <v>110</v>
      </c>
      <c r="D11" t="s">
        <v>139</v>
      </c>
      <c r="E11" t="s">
        <v>133</v>
      </c>
      <c r="F11">
        <v>8</v>
      </c>
      <c r="G11">
        <v>80</v>
      </c>
      <c r="H11">
        <v>640</v>
      </c>
      <c r="I11" t="str">
        <f>TEXT(Table1[[#This Row],[Order Date]],"MMMM")</f>
        <v>February</v>
      </c>
      <c r="J11">
        <f>MONTH(Table1[[#This Row],[Order Date]])</f>
        <v>2</v>
      </c>
      <c r="K11" t="str">
        <f>TEXT(Table1[[#This Row],[Order Date]],"MMM")</f>
        <v>Feb</v>
      </c>
    </row>
    <row r="12" spans="1:11" x14ac:dyDescent="0.3">
      <c r="A12" s="15">
        <v>45690</v>
      </c>
      <c r="B12" t="s">
        <v>132</v>
      </c>
      <c r="C12" t="s">
        <v>110</v>
      </c>
      <c r="D12" t="s">
        <v>76</v>
      </c>
      <c r="E12" t="s">
        <v>133</v>
      </c>
      <c r="F12">
        <v>4</v>
      </c>
      <c r="G12">
        <v>45</v>
      </c>
      <c r="H12">
        <v>180</v>
      </c>
      <c r="I12" t="str">
        <f>TEXT(Table1[[#This Row],[Order Date]],"MMMM")</f>
        <v>February</v>
      </c>
      <c r="J12">
        <f>MONTH(Table1[[#This Row],[Order Date]])</f>
        <v>2</v>
      </c>
      <c r="K12" t="str">
        <f>TEXT(Table1[[#This Row],[Order Date]],"MMM")</f>
        <v>Feb</v>
      </c>
    </row>
    <row r="13" spans="1:11" x14ac:dyDescent="0.3">
      <c r="A13" s="15">
        <v>45726</v>
      </c>
      <c r="B13" t="s">
        <v>135</v>
      </c>
      <c r="C13" t="s">
        <v>110</v>
      </c>
      <c r="D13" t="s">
        <v>139</v>
      </c>
      <c r="E13" t="s">
        <v>133</v>
      </c>
      <c r="F13">
        <v>6</v>
      </c>
      <c r="G13">
        <v>80</v>
      </c>
      <c r="H13">
        <v>480</v>
      </c>
      <c r="I13" t="str">
        <f>TEXT(Table1[[#This Row],[Order Date]],"MMMM")</f>
        <v>March</v>
      </c>
      <c r="J13">
        <f>MONTH(Table1[[#This Row],[Order Date]])</f>
        <v>3</v>
      </c>
      <c r="K13" t="str">
        <f>TEXT(Table1[[#This Row],[Order Date]],"MMM")</f>
        <v>Mar</v>
      </c>
    </row>
    <row r="14" spans="1:11" x14ac:dyDescent="0.3">
      <c r="A14" s="15">
        <v>45736</v>
      </c>
      <c r="B14" t="s">
        <v>135</v>
      </c>
      <c r="C14" t="s">
        <v>109</v>
      </c>
      <c r="D14" t="s">
        <v>77</v>
      </c>
      <c r="E14" t="s">
        <v>134</v>
      </c>
      <c r="F14">
        <v>2</v>
      </c>
      <c r="G14">
        <v>350</v>
      </c>
      <c r="H14">
        <v>700</v>
      </c>
      <c r="I14" t="str">
        <f>TEXT(Table1[[#This Row],[Order Date]],"MMMM")</f>
        <v>March</v>
      </c>
      <c r="J14">
        <f>MONTH(Table1[[#This Row],[Order Date]])</f>
        <v>3</v>
      </c>
      <c r="K14" t="str">
        <f>TEXT(Table1[[#This Row],[Order Date]],"MMM")</f>
        <v>Mar</v>
      </c>
    </row>
    <row r="15" spans="1:11" x14ac:dyDescent="0.3">
      <c r="A15" s="15">
        <v>45702</v>
      </c>
      <c r="B15" t="s">
        <v>135</v>
      </c>
      <c r="C15" t="s">
        <v>113</v>
      </c>
      <c r="D15" t="s">
        <v>76</v>
      </c>
      <c r="E15" t="s">
        <v>133</v>
      </c>
      <c r="F15">
        <v>8</v>
      </c>
      <c r="G15">
        <v>45</v>
      </c>
      <c r="H15">
        <v>360</v>
      </c>
      <c r="I15" t="str">
        <f>TEXT(Table1[[#This Row],[Order Date]],"MMMM")</f>
        <v>February</v>
      </c>
      <c r="J15">
        <f>MONTH(Table1[[#This Row],[Order Date]])</f>
        <v>2</v>
      </c>
      <c r="K15" t="str">
        <f>TEXT(Table1[[#This Row],[Order Date]],"MMM")</f>
        <v>Feb</v>
      </c>
    </row>
    <row r="16" spans="1:11" x14ac:dyDescent="0.3">
      <c r="A16" s="15">
        <v>45744</v>
      </c>
      <c r="B16" t="s">
        <v>138</v>
      </c>
      <c r="C16" t="s">
        <v>140</v>
      </c>
      <c r="D16" t="s">
        <v>77</v>
      </c>
      <c r="E16" t="s">
        <v>134</v>
      </c>
      <c r="F16">
        <v>6</v>
      </c>
      <c r="G16">
        <v>350</v>
      </c>
      <c r="H16">
        <v>2100</v>
      </c>
      <c r="I16" t="str">
        <f>TEXT(Table1[[#This Row],[Order Date]],"MMMM")</f>
        <v>March</v>
      </c>
      <c r="J16">
        <f>MONTH(Table1[[#This Row],[Order Date]])</f>
        <v>3</v>
      </c>
      <c r="K16" t="str">
        <f>TEXT(Table1[[#This Row],[Order Date]],"MMM")</f>
        <v>Mar</v>
      </c>
    </row>
    <row r="17" spans="1:11" x14ac:dyDescent="0.3">
      <c r="A17" s="15">
        <v>45735</v>
      </c>
      <c r="B17" t="s">
        <v>132</v>
      </c>
      <c r="C17" t="s">
        <v>111</v>
      </c>
      <c r="D17" t="s">
        <v>139</v>
      </c>
      <c r="E17" t="s">
        <v>133</v>
      </c>
      <c r="F17">
        <v>8</v>
      </c>
      <c r="G17">
        <v>80</v>
      </c>
      <c r="H17">
        <v>640</v>
      </c>
      <c r="I17" t="str">
        <f>TEXT(Table1[[#This Row],[Order Date]],"MMMM")</f>
        <v>March</v>
      </c>
      <c r="J17">
        <f>MONTH(Table1[[#This Row],[Order Date]])</f>
        <v>3</v>
      </c>
      <c r="K17" t="str">
        <f>TEXT(Table1[[#This Row],[Order Date]],"MMM")</f>
        <v>Mar</v>
      </c>
    </row>
    <row r="18" spans="1:11" x14ac:dyDescent="0.3">
      <c r="A18" s="15">
        <v>45693</v>
      </c>
      <c r="B18" t="s">
        <v>132</v>
      </c>
      <c r="C18" t="s">
        <v>110</v>
      </c>
      <c r="D18" t="s">
        <v>139</v>
      </c>
      <c r="E18" t="s">
        <v>133</v>
      </c>
      <c r="F18">
        <v>2</v>
      </c>
      <c r="G18">
        <v>80</v>
      </c>
      <c r="H18">
        <v>160</v>
      </c>
      <c r="I18" t="str">
        <f>TEXT(Table1[[#This Row],[Order Date]],"MMMM")</f>
        <v>February</v>
      </c>
      <c r="J18">
        <f>MONTH(Table1[[#This Row],[Order Date]])</f>
        <v>2</v>
      </c>
      <c r="K18" t="str">
        <f>TEXT(Table1[[#This Row],[Order Date]],"MMM")</f>
        <v>Feb</v>
      </c>
    </row>
    <row r="19" spans="1:11" x14ac:dyDescent="0.3">
      <c r="A19" s="15">
        <v>45741</v>
      </c>
      <c r="B19" t="s">
        <v>135</v>
      </c>
      <c r="C19" t="s">
        <v>140</v>
      </c>
      <c r="D19" t="s">
        <v>139</v>
      </c>
      <c r="E19" t="s">
        <v>133</v>
      </c>
      <c r="F19">
        <v>5</v>
      </c>
      <c r="G19">
        <v>80</v>
      </c>
      <c r="H19">
        <v>400</v>
      </c>
      <c r="I19" t="str">
        <f>TEXT(Table1[[#This Row],[Order Date]],"MMMM")</f>
        <v>March</v>
      </c>
      <c r="J19">
        <f>MONTH(Table1[[#This Row],[Order Date]])</f>
        <v>3</v>
      </c>
      <c r="K19" t="str">
        <f>TEXT(Table1[[#This Row],[Order Date]],"MMM")</f>
        <v>Mar</v>
      </c>
    </row>
    <row r="20" spans="1:11" x14ac:dyDescent="0.3">
      <c r="A20" s="15">
        <v>45661</v>
      </c>
      <c r="B20" t="s">
        <v>136</v>
      </c>
      <c r="C20" t="s">
        <v>111</v>
      </c>
      <c r="D20" t="s">
        <v>139</v>
      </c>
      <c r="E20" t="s">
        <v>133</v>
      </c>
      <c r="F20">
        <v>6</v>
      </c>
      <c r="G20">
        <v>80</v>
      </c>
      <c r="H20">
        <v>480</v>
      </c>
      <c r="I20" t="str">
        <f>TEXT(Table1[[#This Row],[Order Date]],"MMMM")</f>
        <v>January</v>
      </c>
      <c r="J20">
        <f>MONTH(Table1[[#This Row],[Order Date]])</f>
        <v>1</v>
      </c>
      <c r="K20" t="str">
        <f>TEXT(Table1[[#This Row],[Order Date]],"MMM")</f>
        <v>Jan</v>
      </c>
    </row>
    <row r="21" spans="1:11" x14ac:dyDescent="0.3">
      <c r="A21" s="15">
        <v>45722</v>
      </c>
      <c r="B21" t="s">
        <v>138</v>
      </c>
      <c r="C21" t="s">
        <v>109</v>
      </c>
      <c r="D21" t="s">
        <v>74</v>
      </c>
      <c r="E21" t="s">
        <v>134</v>
      </c>
      <c r="F21">
        <v>4</v>
      </c>
      <c r="G21">
        <v>900</v>
      </c>
      <c r="H21">
        <v>3600</v>
      </c>
      <c r="I21" t="str">
        <f>TEXT(Table1[[#This Row],[Order Date]],"MMMM")</f>
        <v>March</v>
      </c>
      <c r="J21">
        <f>MONTH(Table1[[#This Row],[Order Date]])</f>
        <v>3</v>
      </c>
      <c r="K21" t="str">
        <f>TEXT(Table1[[#This Row],[Order Date]],"MMM")</f>
        <v>Mar</v>
      </c>
    </row>
    <row r="22" spans="1:11" x14ac:dyDescent="0.3">
      <c r="A22" s="15">
        <v>45690</v>
      </c>
      <c r="B22" t="s">
        <v>135</v>
      </c>
      <c r="C22" t="s">
        <v>111</v>
      </c>
      <c r="D22" t="s">
        <v>141</v>
      </c>
      <c r="E22" t="s">
        <v>142</v>
      </c>
      <c r="F22">
        <v>7</v>
      </c>
      <c r="G22">
        <v>120</v>
      </c>
      <c r="H22">
        <v>840</v>
      </c>
      <c r="I22" t="str">
        <f>TEXT(Table1[[#This Row],[Order Date]],"MMMM")</f>
        <v>February</v>
      </c>
      <c r="J22">
        <f>MONTH(Table1[[#This Row],[Order Date]])</f>
        <v>2</v>
      </c>
      <c r="K22" t="str">
        <f>TEXT(Table1[[#This Row],[Order Date]],"MMM")</f>
        <v>Feb</v>
      </c>
    </row>
    <row r="23" spans="1:11" x14ac:dyDescent="0.3">
      <c r="A23" s="15">
        <v>45680</v>
      </c>
      <c r="B23" t="s">
        <v>138</v>
      </c>
      <c r="C23" t="s">
        <v>109</v>
      </c>
      <c r="D23" t="s">
        <v>139</v>
      </c>
      <c r="E23" t="s">
        <v>133</v>
      </c>
      <c r="F23">
        <v>7</v>
      </c>
      <c r="G23">
        <v>80</v>
      </c>
      <c r="H23">
        <v>560</v>
      </c>
      <c r="I23" t="str">
        <f>TEXT(Table1[[#This Row],[Order Date]],"MMMM")</f>
        <v>January</v>
      </c>
      <c r="J23">
        <f>MONTH(Table1[[#This Row],[Order Date]])</f>
        <v>1</v>
      </c>
      <c r="K23" t="str">
        <f>TEXT(Table1[[#This Row],[Order Date]],"MMM")</f>
        <v>Jan</v>
      </c>
    </row>
    <row r="24" spans="1:11" x14ac:dyDescent="0.3">
      <c r="A24" s="15">
        <v>45714</v>
      </c>
      <c r="B24" t="s">
        <v>138</v>
      </c>
      <c r="C24" t="s">
        <v>137</v>
      </c>
      <c r="D24" t="s">
        <v>78</v>
      </c>
      <c r="E24" t="s">
        <v>143</v>
      </c>
      <c r="F24">
        <v>7</v>
      </c>
      <c r="G24">
        <v>220</v>
      </c>
      <c r="H24">
        <v>1540</v>
      </c>
      <c r="I24" t="str">
        <f>TEXT(Table1[[#This Row],[Order Date]],"MMMM")</f>
        <v>February</v>
      </c>
      <c r="J24">
        <f>MONTH(Table1[[#This Row],[Order Date]])</f>
        <v>2</v>
      </c>
      <c r="K24" t="str">
        <f>TEXT(Table1[[#This Row],[Order Date]],"MMM")</f>
        <v>Feb</v>
      </c>
    </row>
    <row r="25" spans="1:11" x14ac:dyDescent="0.3">
      <c r="A25" s="15">
        <v>45688</v>
      </c>
      <c r="B25" t="s">
        <v>136</v>
      </c>
      <c r="C25" t="s">
        <v>109</v>
      </c>
      <c r="D25" t="s">
        <v>76</v>
      </c>
      <c r="E25" t="s">
        <v>133</v>
      </c>
      <c r="F25">
        <v>2</v>
      </c>
      <c r="G25">
        <v>45</v>
      </c>
      <c r="H25">
        <v>90</v>
      </c>
      <c r="I25" t="str">
        <f>TEXT(Table1[[#This Row],[Order Date]],"MMMM")</f>
        <v>January</v>
      </c>
      <c r="J25">
        <f>MONTH(Table1[[#This Row],[Order Date]])</f>
        <v>1</v>
      </c>
      <c r="K25" t="str">
        <f>TEXT(Table1[[#This Row],[Order Date]],"MMM")</f>
        <v>Jan</v>
      </c>
    </row>
    <row r="26" spans="1:11" x14ac:dyDescent="0.3">
      <c r="A26" s="15">
        <v>45688</v>
      </c>
      <c r="B26" t="s">
        <v>135</v>
      </c>
      <c r="C26" t="s">
        <v>109</v>
      </c>
      <c r="D26" t="s">
        <v>75</v>
      </c>
      <c r="E26" t="s">
        <v>133</v>
      </c>
      <c r="F26">
        <v>1</v>
      </c>
      <c r="G26">
        <v>25</v>
      </c>
      <c r="H26">
        <v>25</v>
      </c>
      <c r="I26" t="str">
        <f>TEXT(Table1[[#This Row],[Order Date]],"MMMM")</f>
        <v>January</v>
      </c>
      <c r="J26">
        <f>MONTH(Table1[[#This Row],[Order Date]])</f>
        <v>1</v>
      </c>
      <c r="K26" t="str">
        <f>TEXT(Table1[[#This Row],[Order Date]],"MMM")</f>
        <v>Jan</v>
      </c>
    </row>
    <row r="27" spans="1:11" x14ac:dyDescent="0.3">
      <c r="A27" s="15">
        <v>45692</v>
      </c>
      <c r="B27" t="s">
        <v>136</v>
      </c>
      <c r="C27" t="s">
        <v>137</v>
      </c>
      <c r="D27" t="s">
        <v>78</v>
      </c>
      <c r="E27" t="s">
        <v>143</v>
      </c>
      <c r="F27">
        <v>1</v>
      </c>
      <c r="G27">
        <v>220</v>
      </c>
      <c r="H27">
        <v>220</v>
      </c>
      <c r="I27" t="str">
        <f>TEXT(Table1[[#This Row],[Order Date]],"MMMM")</f>
        <v>February</v>
      </c>
      <c r="J27">
        <f>MONTH(Table1[[#This Row],[Order Date]])</f>
        <v>2</v>
      </c>
      <c r="K27" t="str">
        <f>TEXT(Table1[[#This Row],[Order Date]],"MMM")</f>
        <v>Feb</v>
      </c>
    </row>
    <row r="28" spans="1:11" x14ac:dyDescent="0.3">
      <c r="A28" s="15">
        <v>45727</v>
      </c>
      <c r="B28" t="s">
        <v>136</v>
      </c>
      <c r="C28" t="s">
        <v>113</v>
      </c>
      <c r="D28" t="s">
        <v>144</v>
      </c>
      <c r="E28" t="s">
        <v>142</v>
      </c>
      <c r="F28">
        <v>6</v>
      </c>
      <c r="G28">
        <v>300</v>
      </c>
      <c r="H28">
        <v>1800</v>
      </c>
      <c r="I28" t="str">
        <f>TEXT(Table1[[#This Row],[Order Date]],"MMMM")</f>
        <v>March</v>
      </c>
      <c r="J28">
        <f>MONTH(Table1[[#This Row],[Order Date]])</f>
        <v>3</v>
      </c>
      <c r="K28" t="str">
        <f>TEXT(Table1[[#This Row],[Order Date]],"MMM")</f>
        <v>Mar</v>
      </c>
    </row>
    <row r="29" spans="1:11" x14ac:dyDescent="0.3">
      <c r="A29" s="15">
        <v>45717</v>
      </c>
      <c r="B29" t="s">
        <v>135</v>
      </c>
      <c r="C29" t="s">
        <v>137</v>
      </c>
      <c r="D29" t="s">
        <v>141</v>
      </c>
      <c r="E29" t="s">
        <v>142</v>
      </c>
      <c r="F29">
        <v>7</v>
      </c>
      <c r="G29">
        <v>120</v>
      </c>
      <c r="H29">
        <v>840</v>
      </c>
      <c r="I29" t="str">
        <f>TEXT(Table1[[#This Row],[Order Date]],"MMMM")</f>
        <v>March</v>
      </c>
      <c r="J29">
        <f>MONTH(Table1[[#This Row],[Order Date]])</f>
        <v>3</v>
      </c>
      <c r="K29" t="str">
        <f>TEXT(Table1[[#This Row],[Order Date]],"MMM")</f>
        <v>Mar</v>
      </c>
    </row>
    <row r="30" spans="1:11" x14ac:dyDescent="0.3">
      <c r="A30" s="15">
        <v>45672</v>
      </c>
      <c r="B30" t="s">
        <v>132</v>
      </c>
      <c r="C30" t="s">
        <v>112</v>
      </c>
      <c r="D30" t="s">
        <v>139</v>
      </c>
      <c r="E30" t="s">
        <v>133</v>
      </c>
      <c r="F30">
        <v>7</v>
      </c>
      <c r="G30">
        <v>80</v>
      </c>
      <c r="H30">
        <v>560</v>
      </c>
      <c r="I30" t="str">
        <f>TEXT(Table1[[#This Row],[Order Date]],"MMMM")</f>
        <v>January</v>
      </c>
      <c r="J30">
        <f>MONTH(Table1[[#This Row],[Order Date]])</f>
        <v>1</v>
      </c>
      <c r="K30" t="str">
        <f>TEXT(Table1[[#This Row],[Order Date]],"MMM")</f>
        <v>Jan</v>
      </c>
    </row>
    <row r="31" spans="1:11" x14ac:dyDescent="0.3">
      <c r="A31" s="15">
        <v>45667</v>
      </c>
      <c r="B31" t="s">
        <v>136</v>
      </c>
      <c r="C31" t="s">
        <v>111</v>
      </c>
      <c r="D31" t="s">
        <v>75</v>
      </c>
      <c r="E31" t="s">
        <v>133</v>
      </c>
      <c r="F31">
        <v>8</v>
      </c>
      <c r="G31">
        <v>25</v>
      </c>
      <c r="H31">
        <v>200</v>
      </c>
      <c r="I31" t="str">
        <f>TEXT(Table1[[#This Row],[Order Date]],"MMMM")</f>
        <v>January</v>
      </c>
      <c r="J31">
        <f>MONTH(Table1[[#This Row],[Order Date]])</f>
        <v>1</v>
      </c>
      <c r="K31" t="str">
        <f>TEXT(Table1[[#This Row],[Order Date]],"MMM")</f>
        <v>Jan</v>
      </c>
    </row>
    <row r="32" spans="1:11" x14ac:dyDescent="0.3">
      <c r="A32" s="15">
        <v>45702</v>
      </c>
      <c r="B32" t="s">
        <v>132</v>
      </c>
      <c r="C32" t="s">
        <v>109</v>
      </c>
      <c r="D32" t="s">
        <v>74</v>
      </c>
      <c r="E32" t="s">
        <v>134</v>
      </c>
      <c r="F32">
        <v>2</v>
      </c>
      <c r="G32">
        <v>900</v>
      </c>
      <c r="H32">
        <v>1800</v>
      </c>
      <c r="I32" t="str">
        <f>TEXT(Table1[[#This Row],[Order Date]],"MMMM")</f>
        <v>February</v>
      </c>
      <c r="J32">
        <f>MONTH(Table1[[#This Row],[Order Date]])</f>
        <v>2</v>
      </c>
      <c r="K32" t="str">
        <f>TEXT(Table1[[#This Row],[Order Date]],"MMM")</f>
        <v>Feb</v>
      </c>
    </row>
    <row r="33" spans="1:11" x14ac:dyDescent="0.3">
      <c r="A33" s="15">
        <v>45727</v>
      </c>
      <c r="B33" t="s">
        <v>132</v>
      </c>
      <c r="C33" t="s">
        <v>111</v>
      </c>
      <c r="D33" t="s">
        <v>77</v>
      </c>
      <c r="E33" t="s">
        <v>134</v>
      </c>
      <c r="F33">
        <v>6</v>
      </c>
      <c r="G33">
        <v>350</v>
      </c>
      <c r="H33">
        <v>2100</v>
      </c>
      <c r="I33" t="str">
        <f>TEXT(Table1[[#This Row],[Order Date]],"MMMM")</f>
        <v>March</v>
      </c>
      <c r="J33">
        <f>MONTH(Table1[[#This Row],[Order Date]])</f>
        <v>3</v>
      </c>
      <c r="K33" t="str">
        <f>TEXT(Table1[[#This Row],[Order Date]],"MMM")</f>
        <v>Mar</v>
      </c>
    </row>
    <row r="34" spans="1:11" x14ac:dyDescent="0.3">
      <c r="A34" s="15">
        <v>45685</v>
      </c>
      <c r="B34" t="s">
        <v>138</v>
      </c>
      <c r="C34" t="s">
        <v>140</v>
      </c>
      <c r="D34" t="s">
        <v>141</v>
      </c>
      <c r="E34" t="s">
        <v>142</v>
      </c>
      <c r="F34">
        <v>3</v>
      </c>
      <c r="G34">
        <v>120</v>
      </c>
      <c r="H34">
        <v>360</v>
      </c>
      <c r="I34" t="str">
        <f>TEXT(Table1[[#This Row],[Order Date]],"MMMM")</f>
        <v>January</v>
      </c>
      <c r="J34">
        <f>MONTH(Table1[[#This Row],[Order Date]])</f>
        <v>1</v>
      </c>
      <c r="K34" t="str">
        <f>TEXT(Table1[[#This Row],[Order Date]],"MMM")</f>
        <v>Jan</v>
      </c>
    </row>
    <row r="35" spans="1:11" x14ac:dyDescent="0.3">
      <c r="A35" s="15">
        <v>45736</v>
      </c>
      <c r="B35" t="s">
        <v>132</v>
      </c>
      <c r="C35" t="s">
        <v>111</v>
      </c>
      <c r="D35" t="s">
        <v>144</v>
      </c>
      <c r="E35" t="s">
        <v>142</v>
      </c>
      <c r="F35">
        <v>8</v>
      </c>
      <c r="G35">
        <v>300</v>
      </c>
      <c r="H35">
        <v>2400</v>
      </c>
      <c r="I35" t="str">
        <f>TEXT(Table1[[#This Row],[Order Date]],"MMMM")</f>
        <v>March</v>
      </c>
      <c r="J35">
        <f>MONTH(Table1[[#This Row],[Order Date]])</f>
        <v>3</v>
      </c>
      <c r="K35" t="str">
        <f>TEXT(Table1[[#This Row],[Order Date]],"MMM")</f>
        <v>Mar</v>
      </c>
    </row>
    <row r="36" spans="1:11" x14ac:dyDescent="0.3">
      <c r="A36" s="15">
        <v>45721</v>
      </c>
      <c r="B36" t="s">
        <v>135</v>
      </c>
      <c r="C36" t="s">
        <v>110</v>
      </c>
      <c r="D36" t="s">
        <v>139</v>
      </c>
      <c r="E36" t="s">
        <v>133</v>
      </c>
      <c r="F36">
        <v>8</v>
      </c>
      <c r="G36">
        <v>80</v>
      </c>
      <c r="H36">
        <v>640</v>
      </c>
      <c r="I36" t="str">
        <f>TEXT(Table1[[#This Row],[Order Date]],"MMMM")</f>
        <v>March</v>
      </c>
      <c r="J36">
        <f>MONTH(Table1[[#This Row],[Order Date]])</f>
        <v>3</v>
      </c>
      <c r="K36" t="str">
        <f>TEXT(Table1[[#This Row],[Order Date]],"MMM")</f>
        <v>Mar</v>
      </c>
    </row>
    <row r="37" spans="1:11" x14ac:dyDescent="0.3">
      <c r="A37" s="15">
        <v>45669</v>
      </c>
      <c r="B37" t="s">
        <v>138</v>
      </c>
      <c r="C37" t="s">
        <v>110</v>
      </c>
      <c r="D37" t="s">
        <v>76</v>
      </c>
      <c r="E37" t="s">
        <v>133</v>
      </c>
      <c r="F37">
        <v>2</v>
      </c>
      <c r="G37">
        <v>45</v>
      </c>
      <c r="H37">
        <v>90</v>
      </c>
      <c r="I37" t="str">
        <f>TEXT(Table1[[#This Row],[Order Date]],"MMMM")</f>
        <v>January</v>
      </c>
      <c r="J37">
        <f>MONTH(Table1[[#This Row],[Order Date]])</f>
        <v>1</v>
      </c>
      <c r="K37" t="str">
        <f>TEXT(Table1[[#This Row],[Order Date]],"MMM")</f>
        <v>Jan</v>
      </c>
    </row>
    <row r="38" spans="1:11" x14ac:dyDescent="0.3">
      <c r="A38" s="15">
        <v>45720</v>
      </c>
      <c r="B38" t="s">
        <v>136</v>
      </c>
      <c r="C38" t="s">
        <v>140</v>
      </c>
      <c r="D38" t="s">
        <v>76</v>
      </c>
      <c r="E38" t="s">
        <v>133</v>
      </c>
      <c r="F38">
        <v>1</v>
      </c>
      <c r="G38">
        <v>45</v>
      </c>
      <c r="H38">
        <v>45</v>
      </c>
      <c r="I38" t="str">
        <f>TEXT(Table1[[#This Row],[Order Date]],"MMMM")</f>
        <v>March</v>
      </c>
      <c r="J38">
        <f>MONTH(Table1[[#This Row],[Order Date]])</f>
        <v>3</v>
      </c>
      <c r="K38" t="str">
        <f>TEXT(Table1[[#This Row],[Order Date]],"MMM")</f>
        <v>Mar</v>
      </c>
    </row>
    <row r="39" spans="1:11" x14ac:dyDescent="0.3">
      <c r="A39" s="15">
        <v>45677</v>
      </c>
      <c r="B39" t="s">
        <v>132</v>
      </c>
      <c r="C39" t="s">
        <v>110</v>
      </c>
      <c r="D39" t="s">
        <v>74</v>
      </c>
      <c r="E39" t="s">
        <v>134</v>
      </c>
      <c r="F39">
        <v>5</v>
      </c>
      <c r="G39">
        <v>900</v>
      </c>
      <c r="H39">
        <v>4500</v>
      </c>
      <c r="I39" t="str">
        <f>TEXT(Table1[[#This Row],[Order Date]],"MMMM")</f>
        <v>January</v>
      </c>
      <c r="J39">
        <f>MONTH(Table1[[#This Row],[Order Date]])</f>
        <v>1</v>
      </c>
      <c r="K39" t="str">
        <f>TEXT(Table1[[#This Row],[Order Date]],"MMM")</f>
        <v>Jan</v>
      </c>
    </row>
    <row r="40" spans="1:11" x14ac:dyDescent="0.3">
      <c r="A40" s="15">
        <v>45725</v>
      </c>
      <c r="B40" t="s">
        <v>138</v>
      </c>
      <c r="C40" t="s">
        <v>112</v>
      </c>
      <c r="D40" t="s">
        <v>144</v>
      </c>
      <c r="E40" t="s">
        <v>142</v>
      </c>
      <c r="F40">
        <v>3</v>
      </c>
      <c r="G40">
        <v>300</v>
      </c>
      <c r="H40">
        <v>900</v>
      </c>
      <c r="I40" t="str">
        <f>TEXT(Table1[[#This Row],[Order Date]],"MMMM")</f>
        <v>March</v>
      </c>
      <c r="J40">
        <f>MONTH(Table1[[#This Row],[Order Date]])</f>
        <v>3</v>
      </c>
      <c r="K40" t="str">
        <f>TEXT(Table1[[#This Row],[Order Date]],"MMM")</f>
        <v>Mar</v>
      </c>
    </row>
    <row r="41" spans="1:11" x14ac:dyDescent="0.3">
      <c r="A41" s="15">
        <v>45727</v>
      </c>
      <c r="B41" t="s">
        <v>136</v>
      </c>
      <c r="C41" t="s">
        <v>112</v>
      </c>
      <c r="D41" t="s">
        <v>144</v>
      </c>
      <c r="E41" t="s">
        <v>142</v>
      </c>
      <c r="F41">
        <v>4</v>
      </c>
      <c r="G41">
        <v>300</v>
      </c>
      <c r="H41">
        <v>1200</v>
      </c>
      <c r="I41" t="str">
        <f>TEXT(Table1[[#This Row],[Order Date]],"MMMM")</f>
        <v>March</v>
      </c>
      <c r="J41">
        <f>MONTH(Table1[[#This Row],[Order Date]])</f>
        <v>3</v>
      </c>
      <c r="K41" t="str">
        <f>TEXT(Table1[[#This Row],[Order Date]],"MMM")</f>
        <v>Mar</v>
      </c>
    </row>
    <row r="42" spans="1:11" x14ac:dyDescent="0.3">
      <c r="A42" s="15">
        <v>45710</v>
      </c>
      <c r="B42" t="s">
        <v>135</v>
      </c>
      <c r="C42" t="s">
        <v>140</v>
      </c>
      <c r="D42" t="s">
        <v>75</v>
      </c>
      <c r="E42" t="s">
        <v>133</v>
      </c>
      <c r="F42">
        <v>4</v>
      </c>
      <c r="G42">
        <v>25</v>
      </c>
      <c r="H42">
        <v>100</v>
      </c>
      <c r="I42" t="str">
        <f>TEXT(Table1[[#This Row],[Order Date]],"MMMM")</f>
        <v>February</v>
      </c>
      <c r="J42">
        <f>MONTH(Table1[[#This Row],[Order Date]])</f>
        <v>2</v>
      </c>
      <c r="K42" t="str">
        <f>TEXT(Table1[[#This Row],[Order Date]],"MMM")</f>
        <v>Feb</v>
      </c>
    </row>
    <row r="43" spans="1:11" x14ac:dyDescent="0.3">
      <c r="A43" s="15">
        <v>45662</v>
      </c>
      <c r="B43" t="s">
        <v>135</v>
      </c>
      <c r="C43" t="s">
        <v>110</v>
      </c>
      <c r="D43" t="s">
        <v>74</v>
      </c>
      <c r="E43" t="s">
        <v>134</v>
      </c>
      <c r="F43">
        <v>5</v>
      </c>
      <c r="G43">
        <v>900</v>
      </c>
      <c r="H43">
        <v>4500</v>
      </c>
      <c r="I43" t="str">
        <f>TEXT(Table1[[#This Row],[Order Date]],"MMMM")</f>
        <v>January</v>
      </c>
      <c r="J43">
        <f>MONTH(Table1[[#This Row],[Order Date]])</f>
        <v>1</v>
      </c>
      <c r="K43" t="str">
        <f>TEXT(Table1[[#This Row],[Order Date]],"MMM")</f>
        <v>Jan</v>
      </c>
    </row>
    <row r="44" spans="1:11" x14ac:dyDescent="0.3">
      <c r="A44" s="15">
        <v>45683</v>
      </c>
      <c r="B44" t="s">
        <v>138</v>
      </c>
      <c r="C44" t="s">
        <v>140</v>
      </c>
      <c r="D44" t="s">
        <v>144</v>
      </c>
      <c r="E44" t="s">
        <v>142</v>
      </c>
      <c r="F44">
        <v>8</v>
      </c>
      <c r="G44">
        <v>300</v>
      </c>
      <c r="H44">
        <v>2400</v>
      </c>
      <c r="I44" t="str">
        <f>TEXT(Table1[[#This Row],[Order Date]],"MMMM")</f>
        <v>January</v>
      </c>
      <c r="J44">
        <f>MONTH(Table1[[#This Row],[Order Date]])</f>
        <v>1</v>
      </c>
      <c r="K44" t="str">
        <f>TEXT(Table1[[#This Row],[Order Date]],"MMM")</f>
        <v>Jan</v>
      </c>
    </row>
    <row r="45" spans="1:11" x14ac:dyDescent="0.3">
      <c r="A45" s="15">
        <v>45669</v>
      </c>
      <c r="B45" t="s">
        <v>136</v>
      </c>
      <c r="C45" t="s">
        <v>145</v>
      </c>
      <c r="D45" t="s">
        <v>75</v>
      </c>
      <c r="E45" t="s">
        <v>133</v>
      </c>
      <c r="F45">
        <v>2</v>
      </c>
      <c r="G45">
        <v>25</v>
      </c>
      <c r="H45">
        <v>50</v>
      </c>
      <c r="I45" t="str">
        <f>TEXT(Table1[[#This Row],[Order Date]],"MMMM")</f>
        <v>January</v>
      </c>
      <c r="J45">
        <f>MONTH(Table1[[#This Row],[Order Date]])</f>
        <v>1</v>
      </c>
      <c r="K45" t="str">
        <f>TEXT(Table1[[#This Row],[Order Date]],"MMM")</f>
        <v>Jan</v>
      </c>
    </row>
    <row r="46" spans="1:11" x14ac:dyDescent="0.3">
      <c r="A46" s="15">
        <v>45684</v>
      </c>
      <c r="B46" t="s">
        <v>135</v>
      </c>
      <c r="C46" t="s">
        <v>113</v>
      </c>
      <c r="D46" t="s">
        <v>144</v>
      </c>
      <c r="E46" t="s">
        <v>142</v>
      </c>
      <c r="F46">
        <v>4</v>
      </c>
      <c r="G46">
        <v>300</v>
      </c>
      <c r="H46">
        <v>1200</v>
      </c>
      <c r="I46" t="str">
        <f>TEXT(Table1[[#This Row],[Order Date]],"MMMM")</f>
        <v>January</v>
      </c>
      <c r="J46">
        <f>MONTH(Table1[[#This Row],[Order Date]])</f>
        <v>1</v>
      </c>
      <c r="K46" t="str">
        <f>TEXT(Table1[[#This Row],[Order Date]],"MMM")</f>
        <v>Jan</v>
      </c>
    </row>
    <row r="47" spans="1:11" x14ac:dyDescent="0.3">
      <c r="A47" s="15">
        <v>45720</v>
      </c>
      <c r="B47" t="s">
        <v>132</v>
      </c>
      <c r="C47" t="s">
        <v>137</v>
      </c>
      <c r="D47" t="s">
        <v>144</v>
      </c>
      <c r="E47" t="s">
        <v>142</v>
      </c>
      <c r="F47">
        <v>2</v>
      </c>
      <c r="G47">
        <v>300</v>
      </c>
      <c r="H47">
        <v>600</v>
      </c>
      <c r="I47" t="str">
        <f>TEXT(Table1[[#This Row],[Order Date]],"MMMM")</f>
        <v>March</v>
      </c>
      <c r="J47">
        <f>MONTH(Table1[[#This Row],[Order Date]])</f>
        <v>3</v>
      </c>
      <c r="K47" t="str">
        <f>TEXT(Table1[[#This Row],[Order Date]],"MMM")</f>
        <v>Mar</v>
      </c>
    </row>
    <row r="48" spans="1:11" x14ac:dyDescent="0.3">
      <c r="A48" s="15">
        <v>45684</v>
      </c>
      <c r="B48" t="s">
        <v>135</v>
      </c>
      <c r="C48" t="s">
        <v>140</v>
      </c>
      <c r="D48" t="s">
        <v>139</v>
      </c>
      <c r="E48" t="s">
        <v>133</v>
      </c>
      <c r="F48">
        <v>3</v>
      </c>
      <c r="G48">
        <v>80</v>
      </c>
      <c r="H48">
        <v>240</v>
      </c>
      <c r="I48" t="str">
        <f>TEXT(Table1[[#This Row],[Order Date]],"MMMM")</f>
        <v>January</v>
      </c>
      <c r="J48">
        <f>MONTH(Table1[[#This Row],[Order Date]])</f>
        <v>1</v>
      </c>
      <c r="K48" t="str">
        <f>TEXT(Table1[[#This Row],[Order Date]],"MMM")</f>
        <v>Jan</v>
      </c>
    </row>
    <row r="49" spans="1:11" x14ac:dyDescent="0.3">
      <c r="A49" s="15">
        <v>45670</v>
      </c>
      <c r="B49" t="s">
        <v>135</v>
      </c>
      <c r="C49" t="s">
        <v>111</v>
      </c>
      <c r="D49" t="s">
        <v>141</v>
      </c>
      <c r="E49" t="s">
        <v>142</v>
      </c>
      <c r="F49">
        <v>8</v>
      </c>
      <c r="G49">
        <v>120</v>
      </c>
      <c r="H49">
        <v>960</v>
      </c>
      <c r="I49" t="str">
        <f>TEXT(Table1[[#This Row],[Order Date]],"MMMM")</f>
        <v>January</v>
      </c>
      <c r="J49">
        <f>MONTH(Table1[[#This Row],[Order Date]])</f>
        <v>1</v>
      </c>
      <c r="K49" t="str">
        <f>TEXT(Table1[[#This Row],[Order Date]],"MMM")</f>
        <v>Jan</v>
      </c>
    </row>
    <row r="50" spans="1:11" x14ac:dyDescent="0.3">
      <c r="A50" s="15">
        <v>45679</v>
      </c>
      <c r="B50" t="s">
        <v>132</v>
      </c>
      <c r="C50" t="s">
        <v>109</v>
      </c>
      <c r="D50" t="s">
        <v>76</v>
      </c>
      <c r="E50" t="s">
        <v>133</v>
      </c>
      <c r="F50">
        <v>3</v>
      </c>
      <c r="G50">
        <v>45</v>
      </c>
      <c r="H50">
        <v>135</v>
      </c>
      <c r="I50" t="str">
        <f>TEXT(Table1[[#This Row],[Order Date]],"MMMM")</f>
        <v>January</v>
      </c>
      <c r="J50">
        <f>MONTH(Table1[[#This Row],[Order Date]])</f>
        <v>1</v>
      </c>
      <c r="K50" t="str">
        <f>TEXT(Table1[[#This Row],[Order Date]],"MMM")</f>
        <v>Jan</v>
      </c>
    </row>
    <row r="51" spans="1:11" x14ac:dyDescent="0.3">
      <c r="A51" s="15">
        <v>45734</v>
      </c>
      <c r="B51" t="s">
        <v>135</v>
      </c>
      <c r="C51" t="s">
        <v>140</v>
      </c>
      <c r="D51" t="s">
        <v>139</v>
      </c>
      <c r="E51" t="s">
        <v>133</v>
      </c>
      <c r="F51">
        <v>3</v>
      </c>
      <c r="G51">
        <v>80</v>
      </c>
      <c r="H51">
        <v>240</v>
      </c>
      <c r="I51" t="str">
        <f>TEXT(Table1[[#This Row],[Order Date]],"MMMM")</f>
        <v>March</v>
      </c>
      <c r="J51">
        <f>MONTH(Table1[[#This Row],[Order Date]])</f>
        <v>3</v>
      </c>
      <c r="K51" t="str">
        <f>TEXT(Table1[[#This Row],[Order Date]],"MMM")</f>
        <v>Mar</v>
      </c>
    </row>
    <row r="52" spans="1:11" x14ac:dyDescent="0.3">
      <c r="A52" s="15">
        <v>45678</v>
      </c>
      <c r="B52" t="s">
        <v>132</v>
      </c>
      <c r="C52" t="s">
        <v>111</v>
      </c>
      <c r="D52" t="s">
        <v>76</v>
      </c>
      <c r="E52" t="s">
        <v>133</v>
      </c>
      <c r="F52">
        <v>1</v>
      </c>
      <c r="G52">
        <v>45</v>
      </c>
      <c r="H52">
        <v>45</v>
      </c>
      <c r="I52" t="str">
        <f>TEXT(Table1[[#This Row],[Order Date]],"MMMM")</f>
        <v>January</v>
      </c>
      <c r="J52">
        <f>MONTH(Table1[[#This Row],[Order Date]])</f>
        <v>1</v>
      </c>
      <c r="K52" t="str">
        <f>TEXT(Table1[[#This Row],[Order Date]],"MMM")</f>
        <v>Jan</v>
      </c>
    </row>
    <row r="53" spans="1:11" x14ac:dyDescent="0.3">
      <c r="A53" s="15">
        <v>45726</v>
      </c>
      <c r="B53" t="s">
        <v>136</v>
      </c>
      <c r="C53" t="s">
        <v>112</v>
      </c>
      <c r="D53" t="s">
        <v>76</v>
      </c>
      <c r="E53" t="s">
        <v>133</v>
      </c>
      <c r="F53">
        <v>7</v>
      </c>
      <c r="G53">
        <v>45</v>
      </c>
      <c r="H53">
        <v>315</v>
      </c>
      <c r="I53" t="str">
        <f>TEXT(Table1[[#This Row],[Order Date]],"MMMM")</f>
        <v>March</v>
      </c>
      <c r="J53">
        <f>MONTH(Table1[[#This Row],[Order Date]])</f>
        <v>3</v>
      </c>
      <c r="K53" t="str">
        <f>TEXT(Table1[[#This Row],[Order Date]],"MMM")</f>
        <v>Mar</v>
      </c>
    </row>
    <row r="54" spans="1:11" x14ac:dyDescent="0.3">
      <c r="A54" s="15">
        <v>45662</v>
      </c>
      <c r="B54" t="s">
        <v>138</v>
      </c>
      <c r="C54" t="s">
        <v>112</v>
      </c>
      <c r="D54" t="s">
        <v>78</v>
      </c>
      <c r="E54" t="s">
        <v>143</v>
      </c>
      <c r="F54">
        <v>4</v>
      </c>
      <c r="G54">
        <v>220</v>
      </c>
      <c r="H54">
        <v>880</v>
      </c>
      <c r="I54" t="str">
        <f>TEXT(Table1[[#This Row],[Order Date]],"MMMM")</f>
        <v>January</v>
      </c>
      <c r="J54">
        <f>MONTH(Table1[[#This Row],[Order Date]])</f>
        <v>1</v>
      </c>
      <c r="K54" t="str">
        <f>TEXT(Table1[[#This Row],[Order Date]],"MMM")</f>
        <v>Jan</v>
      </c>
    </row>
    <row r="55" spans="1:11" x14ac:dyDescent="0.3">
      <c r="A55" s="15">
        <v>45734</v>
      </c>
      <c r="B55" t="s">
        <v>135</v>
      </c>
      <c r="C55" t="s">
        <v>109</v>
      </c>
      <c r="D55" t="s">
        <v>144</v>
      </c>
      <c r="E55" t="s">
        <v>142</v>
      </c>
      <c r="F55">
        <v>5</v>
      </c>
      <c r="G55">
        <v>300</v>
      </c>
      <c r="H55">
        <v>1500</v>
      </c>
      <c r="I55" t="str">
        <f>TEXT(Table1[[#This Row],[Order Date]],"MMMM")</f>
        <v>March</v>
      </c>
      <c r="J55">
        <f>MONTH(Table1[[#This Row],[Order Date]])</f>
        <v>3</v>
      </c>
      <c r="K55" t="str">
        <f>TEXT(Table1[[#This Row],[Order Date]],"MMM")</f>
        <v>Mar</v>
      </c>
    </row>
    <row r="56" spans="1:11" x14ac:dyDescent="0.3">
      <c r="A56" s="15">
        <v>45666</v>
      </c>
      <c r="B56" t="s">
        <v>135</v>
      </c>
      <c r="C56" t="s">
        <v>109</v>
      </c>
      <c r="D56" t="s">
        <v>144</v>
      </c>
      <c r="E56" t="s">
        <v>142</v>
      </c>
      <c r="F56">
        <v>8</v>
      </c>
      <c r="G56">
        <v>300</v>
      </c>
      <c r="H56">
        <v>2400</v>
      </c>
      <c r="I56" t="str">
        <f>TEXT(Table1[[#This Row],[Order Date]],"MMMM")</f>
        <v>January</v>
      </c>
      <c r="J56">
        <f>MONTH(Table1[[#This Row],[Order Date]])</f>
        <v>1</v>
      </c>
      <c r="K56" t="str">
        <f>TEXT(Table1[[#This Row],[Order Date]],"MMM")</f>
        <v>Jan</v>
      </c>
    </row>
    <row r="57" spans="1:11" x14ac:dyDescent="0.3">
      <c r="A57" s="15">
        <v>45727</v>
      </c>
      <c r="B57" t="s">
        <v>135</v>
      </c>
      <c r="C57" t="s">
        <v>109</v>
      </c>
      <c r="D57" t="s">
        <v>76</v>
      </c>
      <c r="E57" t="s">
        <v>133</v>
      </c>
      <c r="F57">
        <v>1</v>
      </c>
      <c r="G57">
        <v>45</v>
      </c>
      <c r="H57">
        <v>45</v>
      </c>
      <c r="I57" t="str">
        <f>TEXT(Table1[[#This Row],[Order Date]],"MMMM")</f>
        <v>March</v>
      </c>
      <c r="J57">
        <f>MONTH(Table1[[#This Row],[Order Date]])</f>
        <v>3</v>
      </c>
      <c r="K57" t="str">
        <f>TEXT(Table1[[#This Row],[Order Date]],"MMM")</f>
        <v>Mar</v>
      </c>
    </row>
    <row r="58" spans="1:11" x14ac:dyDescent="0.3">
      <c r="A58" s="15">
        <v>45736</v>
      </c>
      <c r="B58" t="s">
        <v>136</v>
      </c>
      <c r="C58" t="s">
        <v>109</v>
      </c>
      <c r="D58" t="s">
        <v>74</v>
      </c>
      <c r="E58" t="s">
        <v>134</v>
      </c>
      <c r="F58">
        <v>3</v>
      </c>
      <c r="G58">
        <v>900</v>
      </c>
      <c r="H58">
        <v>2700</v>
      </c>
      <c r="I58" t="str">
        <f>TEXT(Table1[[#This Row],[Order Date]],"MMMM")</f>
        <v>March</v>
      </c>
      <c r="J58">
        <f>MONTH(Table1[[#This Row],[Order Date]])</f>
        <v>3</v>
      </c>
      <c r="K58" t="str">
        <f>TEXT(Table1[[#This Row],[Order Date]],"MMM")</f>
        <v>Mar</v>
      </c>
    </row>
    <row r="59" spans="1:11" x14ac:dyDescent="0.3">
      <c r="A59" s="15">
        <v>45719</v>
      </c>
      <c r="B59" t="s">
        <v>138</v>
      </c>
      <c r="C59" t="s">
        <v>145</v>
      </c>
      <c r="D59" t="s">
        <v>77</v>
      </c>
      <c r="E59" t="s">
        <v>134</v>
      </c>
      <c r="F59">
        <v>1</v>
      </c>
      <c r="G59">
        <v>350</v>
      </c>
      <c r="H59">
        <v>350</v>
      </c>
      <c r="I59" t="str">
        <f>TEXT(Table1[[#This Row],[Order Date]],"MMMM")</f>
        <v>March</v>
      </c>
      <c r="J59">
        <f>MONTH(Table1[[#This Row],[Order Date]])</f>
        <v>3</v>
      </c>
      <c r="K59" t="str">
        <f>TEXT(Table1[[#This Row],[Order Date]],"MMM")</f>
        <v>Mar</v>
      </c>
    </row>
    <row r="60" spans="1:11" x14ac:dyDescent="0.3">
      <c r="A60" s="15">
        <v>45672</v>
      </c>
      <c r="B60" t="s">
        <v>136</v>
      </c>
      <c r="C60" t="s">
        <v>110</v>
      </c>
      <c r="D60" t="s">
        <v>74</v>
      </c>
      <c r="E60" t="s">
        <v>134</v>
      </c>
      <c r="F60">
        <v>4</v>
      </c>
      <c r="G60">
        <v>900</v>
      </c>
      <c r="H60">
        <v>3600</v>
      </c>
      <c r="I60" t="str">
        <f>TEXT(Table1[[#This Row],[Order Date]],"MMMM")</f>
        <v>January</v>
      </c>
      <c r="J60">
        <f>MONTH(Table1[[#This Row],[Order Date]])</f>
        <v>1</v>
      </c>
      <c r="K60" t="str">
        <f>TEXT(Table1[[#This Row],[Order Date]],"MMM")</f>
        <v>Jan</v>
      </c>
    </row>
    <row r="61" spans="1:11" x14ac:dyDescent="0.3">
      <c r="A61" s="15">
        <v>45664</v>
      </c>
      <c r="B61" t="s">
        <v>132</v>
      </c>
      <c r="C61" t="s">
        <v>111</v>
      </c>
      <c r="D61" t="s">
        <v>77</v>
      </c>
      <c r="E61" t="s">
        <v>134</v>
      </c>
      <c r="F61">
        <v>8</v>
      </c>
      <c r="G61">
        <v>350</v>
      </c>
      <c r="H61">
        <v>2800</v>
      </c>
      <c r="I61" t="str">
        <f>TEXT(Table1[[#This Row],[Order Date]],"MMMM")</f>
        <v>January</v>
      </c>
      <c r="J61">
        <f>MONTH(Table1[[#This Row],[Order Date]])</f>
        <v>1</v>
      </c>
      <c r="K61" t="str">
        <f>TEXT(Table1[[#This Row],[Order Date]],"MMM")</f>
        <v>Jan</v>
      </c>
    </row>
    <row r="62" spans="1:11" x14ac:dyDescent="0.3">
      <c r="A62" s="15">
        <v>45715</v>
      </c>
      <c r="B62" t="s">
        <v>138</v>
      </c>
      <c r="C62" t="s">
        <v>145</v>
      </c>
      <c r="D62" t="s">
        <v>144</v>
      </c>
      <c r="E62" t="s">
        <v>142</v>
      </c>
      <c r="F62">
        <v>4</v>
      </c>
      <c r="G62">
        <v>300</v>
      </c>
      <c r="H62">
        <v>1200</v>
      </c>
      <c r="I62" t="str">
        <f>TEXT(Table1[[#This Row],[Order Date]],"MMMM")</f>
        <v>February</v>
      </c>
      <c r="J62">
        <f>MONTH(Table1[[#This Row],[Order Date]])</f>
        <v>2</v>
      </c>
      <c r="K62" t="str">
        <f>TEXT(Table1[[#This Row],[Order Date]],"MMM")</f>
        <v>Feb</v>
      </c>
    </row>
    <row r="63" spans="1:11" x14ac:dyDescent="0.3">
      <c r="A63" s="15">
        <v>45724</v>
      </c>
      <c r="B63" t="s">
        <v>138</v>
      </c>
      <c r="C63" t="s">
        <v>112</v>
      </c>
      <c r="D63" t="s">
        <v>139</v>
      </c>
      <c r="E63" t="s">
        <v>133</v>
      </c>
      <c r="F63">
        <v>4</v>
      </c>
      <c r="G63">
        <v>80</v>
      </c>
      <c r="H63">
        <v>320</v>
      </c>
      <c r="I63" t="str">
        <f>TEXT(Table1[[#This Row],[Order Date]],"MMMM")</f>
        <v>March</v>
      </c>
      <c r="J63">
        <f>MONTH(Table1[[#This Row],[Order Date]])</f>
        <v>3</v>
      </c>
      <c r="K63" t="str">
        <f>TEXT(Table1[[#This Row],[Order Date]],"MMM")</f>
        <v>Mar</v>
      </c>
    </row>
    <row r="64" spans="1:11" x14ac:dyDescent="0.3">
      <c r="A64" s="15">
        <v>45716</v>
      </c>
      <c r="B64" t="s">
        <v>132</v>
      </c>
      <c r="C64" t="s">
        <v>137</v>
      </c>
      <c r="D64" t="s">
        <v>76</v>
      </c>
      <c r="E64" t="s">
        <v>133</v>
      </c>
      <c r="F64">
        <v>7</v>
      </c>
      <c r="G64">
        <v>45</v>
      </c>
      <c r="H64">
        <v>315</v>
      </c>
      <c r="I64" t="str">
        <f>TEXT(Table1[[#This Row],[Order Date]],"MMMM")</f>
        <v>February</v>
      </c>
      <c r="J64">
        <f>MONTH(Table1[[#This Row],[Order Date]])</f>
        <v>2</v>
      </c>
      <c r="K64" t="str">
        <f>TEXT(Table1[[#This Row],[Order Date]],"MMM")</f>
        <v>Feb</v>
      </c>
    </row>
    <row r="65" spans="1:11" x14ac:dyDescent="0.3">
      <c r="A65" s="15">
        <v>45715</v>
      </c>
      <c r="B65" t="s">
        <v>136</v>
      </c>
      <c r="C65" t="s">
        <v>137</v>
      </c>
      <c r="D65" t="s">
        <v>144</v>
      </c>
      <c r="E65" t="s">
        <v>142</v>
      </c>
      <c r="F65">
        <v>2</v>
      </c>
      <c r="G65">
        <v>300</v>
      </c>
      <c r="H65">
        <v>600</v>
      </c>
      <c r="I65" t="str">
        <f>TEXT(Table1[[#This Row],[Order Date]],"MMMM")</f>
        <v>February</v>
      </c>
      <c r="J65">
        <f>MONTH(Table1[[#This Row],[Order Date]])</f>
        <v>2</v>
      </c>
      <c r="K65" t="str">
        <f>TEXT(Table1[[#This Row],[Order Date]],"MMM")</f>
        <v>Feb</v>
      </c>
    </row>
    <row r="66" spans="1:11" x14ac:dyDescent="0.3">
      <c r="A66" s="15">
        <v>45668</v>
      </c>
      <c r="B66" t="s">
        <v>132</v>
      </c>
      <c r="C66" t="s">
        <v>109</v>
      </c>
      <c r="D66" t="s">
        <v>75</v>
      </c>
      <c r="E66" t="s">
        <v>133</v>
      </c>
      <c r="F66">
        <v>5</v>
      </c>
      <c r="G66">
        <v>25</v>
      </c>
      <c r="H66">
        <v>125</v>
      </c>
      <c r="I66" t="str">
        <f>TEXT(Table1[[#This Row],[Order Date]],"MMMM")</f>
        <v>January</v>
      </c>
      <c r="J66">
        <f>MONTH(Table1[[#This Row],[Order Date]])</f>
        <v>1</v>
      </c>
      <c r="K66" t="str">
        <f>TEXT(Table1[[#This Row],[Order Date]],"MMM")</f>
        <v>Jan</v>
      </c>
    </row>
    <row r="67" spans="1:11" x14ac:dyDescent="0.3">
      <c r="A67" s="15">
        <v>45741</v>
      </c>
      <c r="B67" t="s">
        <v>138</v>
      </c>
      <c r="C67" t="s">
        <v>109</v>
      </c>
      <c r="D67" t="s">
        <v>144</v>
      </c>
      <c r="E67" t="s">
        <v>142</v>
      </c>
      <c r="F67">
        <v>3</v>
      </c>
      <c r="G67">
        <v>300</v>
      </c>
      <c r="H67">
        <v>900</v>
      </c>
      <c r="I67" t="str">
        <f>TEXT(Table1[[#This Row],[Order Date]],"MMMM")</f>
        <v>March</v>
      </c>
      <c r="J67">
        <f>MONTH(Table1[[#This Row],[Order Date]])</f>
        <v>3</v>
      </c>
      <c r="K67" t="str">
        <f>TEXT(Table1[[#This Row],[Order Date]],"MMM")</f>
        <v>Mar</v>
      </c>
    </row>
    <row r="68" spans="1:11" x14ac:dyDescent="0.3">
      <c r="A68" s="15">
        <v>45718</v>
      </c>
      <c r="B68" t="s">
        <v>135</v>
      </c>
      <c r="C68" t="s">
        <v>145</v>
      </c>
      <c r="D68" t="s">
        <v>75</v>
      </c>
      <c r="E68" t="s">
        <v>133</v>
      </c>
      <c r="F68">
        <v>2</v>
      </c>
      <c r="G68">
        <v>25</v>
      </c>
      <c r="H68">
        <v>50</v>
      </c>
      <c r="I68" t="str">
        <f>TEXT(Table1[[#This Row],[Order Date]],"MMMM")</f>
        <v>March</v>
      </c>
      <c r="J68">
        <f>MONTH(Table1[[#This Row],[Order Date]])</f>
        <v>3</v>
      </c>
      <c r="K68" t="str">
        <f>TEXT(Table1[[#This Row],[Order Date]],"MMM")</f>
        <v>Mar</v>
      </c>
    </row>
    <row r="69" spans="1:11" x14ac:dyDescent="0.3">
      <c r="A69" s="15">
        <v>45679</v>
      </c>
      <c r="B69" t="s">
        <v>135</v>
      </c>
      <c r="C69" t="s">
        <v>137</v>
      </c>
      <c r="D69" t="s">
        <v>75</v>
      </c>
      <c r="E69" t="s">
        <v>133</v>
      </c>
      <c r="F69">
        <v>3</v>
      </c>
      <c r="G69">
        <v>25</v>
      </c>
      <c r="H69">
        <v>75</v>
      </c>
      <c r="I69" t="str">
        <f>TEXT(Table1[[#This Row],[Order Date]],"MMMM")</f>
        <v>January</v>
      </c>
      <c r="J69">
        <f>MONTH(Table1[[#This Row],[Order Date]])</f>
        <v>1</v>
      </c>
      <c r="K69" t="str">
        <f>TEXT(Table1[[#This Row],[Order Date]],"MMM")</f>
        <v>Jan</v>
      </c>
    </row>
    <row r="70" spans="1:11" x14ac:dyDescent="0.3">
      <c r="A70" s="15">
        <v>45702</v>
      </c>
      <c r="B70" t="s">
        <v>138</v>
      </c>
      <c r="C70" t="s">
        <v>140</v>
      </c>
      <c r="D70" t="s">
        <v>141</v>
      </c>
      <c r="E70" t="s">
        <v>142</v>
      </c>
      <c r="F70">
        <v>4</v>
      </c>
      <c r="G70">
        <v>120</v>
      </c>
      <c r="H70">
        <v>480</v>
      </c>
      <c r="I70" t="str">
        <f>TEXT(Table1[[#This Row],[Order Date]],"MMMM")</f>
        <v>February</v>
      </c>
      <c r="J70">
        <f>MONTH(Table1[[#This Row],[Order Date]])</f>
        <v>2</v>
      </c>
      <c r="K70" t="str">
        <f>TEXT(Table1[[#This Row],[Order Date]],"MMM")</f>
        <v>Feb</v>
      </c>
    </row>
    <row r="71" spans="1:11" x14ac:dyDescent="0.3">
      <c r="A71" s="15">
        <v>45670</v>
      </c>
      <c r="B71" t="s">
        <v>138</v>
      </c>
      <c r="C71" t="s">
        <v>145</v>
      </c>
      <c r="D71" t="s">
        <v>144</v>
      </c>
      <c r="E71" t="s">
        <v>142</v>
      </c>
      <c r="F71">
        <v>1</v>
      </c>
      <c r="G71">
        <v>300</v>
      </c>
      <c r="H71">
        <v>300</v>
      </c>
      <c r="I71" t="str">
        <f>TEXT(Table1[[#This Row],[Order Date]],"MMMM")</f>
        <v>January</v>
      </c>
      <c r="J71">
        <f>MONTH(Table1[[#This Row],[Order Date]])</f>
        <v>1</v>
      </c>
      <c r="K71" t="str">
        <f>TEXT(Table1[[#This Row],[Order Date]],"MMM")</f>
        <v>Jan</v>
      </c>
    </row>
    <row r="72" spans="1:11" x14ac:dyDescent="0.3">
      <c r="A72" s="15">
        <v>45715</v>
      </c>
      <c r="B72" t="s">
        <v>138</v>
      </c>
      <c r="C72" t="s">
        <v>110</v>
      </c>
      <c r="D72" t="s">
        <v>74</v>
      </c>
      <c r="E72" t="s">
        <v>134</v>
      </c>
      <c r="F72">
        <v>7</v>
      </c>
      <c r="G72">
        <v>900</v>
      </c>
      <c r="H72">
        <v>6300</v>
      </c>
      <c r="I72" t="str">
        <f>TEXT(Table1[[#This Row],[Order Date]],"MMMM")</f>
        <v>February</v>
      </c>
      <c r="J72">
        <f>MONTH(Table1[[#This Row],[Order Date]])</f>
        <v>2</v>
      </c>
      <c r="K72" t="str">
        <f>TEXT(Table1[[#This Row],[Order Date]],"MMM")</f>
        <v>Feb</v>
      </c>
    </row>
    <row r="73" spans="1:11" x14ac:dyDescent="0.3">
      <c r="A73" s="15">
        <v>45724</v>
      </c>
      <c r="B73" t="s">
        <v>136</v>
      </c>
      <c r="C73" t="s">
        <v>111</v>
      </c>
      <c r="D73" t="s">
        <v>77</v>
      </c>
      <c r="E73" t="s">
        <v>134</v>
      </c>
      <c r="F73">
        <v>2</v>
      </c>
      <c r="G73">
        <v>350</v>
      </c>
      <c r="H73">
        <v>700</v>
      </c>
      <c r="I73" t="str">
        <f>TEXT(Table1[[#This Row],[Order Date]],"MMMM")</f>
        <v>March</v>
      </c>
      <c r="J73">
        <f>MONTH(Table1[[#This Row],[Order Date]])</f>
        <v>3</v>
      </c>
      <c r="K73" t="str">
        <f>TEXT(Table1[[#This Row],[Order Date]],"MMM")</f>
        <v>Mar</v>
      </c>
    </row>
    <row r="74" spans="1:11" x14ac:dyDescent="0.3">
      <c r="A74" s="15">
        <v>45669</v>
      </c>
      <c r="B74" t="s">
        <v>132</v>
      </c>
      <c r="C74" t="s">
        <v>109</v>
      </c>
      <c r="D74" t="s">
        <v>78</v>
      </c>
      <c r="E74" t="s">
        <v>143</v>
      </c>
      <c r="F74">
        <v>5</v>
      </c>
      <c r="G74">
        <v>220</v>
      </c>
      <c r="H74">
        <v>1100</v>
      </c>
      <c r="I74" t="str">
        <f>TEXT(Table1[[#This Row],[Order Date]],"MMMM")</f>
        <v>January</v>
      </c>
      <c r="J74">
        <f>MONTH(Table1[[#This Row],[Order Date]])</f>
        <v>1</v>
      </c>
      <c r="K74" t="str">
        <f>TEXT(Table1[[#This Row],[Order Date]],"MMM")</f>
        <v>Jan</v>
      </c>
    </row>
    <row r="75" spans="1:11" x14ac:dyDescent="0.3">
      <c r="A75" s="15">
        <v>45693</v>
      </c>
      <c r="B75" t="s">
        <v>138</v>
      </c>
      <c r="C75" t="s">
        <v>137</v>
      </c>
      <c r="D75" t="s">
        <v>76</v>
      </c>
      <c r="E75" t="s">
        <v>133</v>
      </c>
      <c r="F75">
        <v>7</v>
      </c>
      <c r="G75">
        <v>45</v>
      </c>
      <c r="H75">
        <v>315</v>
      </c>
      <c r="I75" t="str">
        <f>TEXT(Table1[[#This Row],[Order Date]],"MMMM")</f>
        <v>February</v>
      </c>
      <c r="J75">
        <f>MONTH(Table1[[#This Row],[Order Date]])</f>
        <v>2</v>
      </c>
      <c r="K75" t="str">
        <f>TEXT(Table1[[#This Row],[Order Date]],"MMM")</f>
        <v>Feb</v>
      </c>
    </row>
    <row r="76" spans="1:11" x14ac:dyDescent="0.3">
      <c r="A76" s="15">
        <v>45678</v>
      </c>
      <c r="B76" t="s">
        <v>132</v>
      </c>
      <c r="C76" t="s">
        <v>110</v>
      </c>
      <c r="D76" t="s">
        <v>139</v>
      </c>
      <c r="E76" t="s">
        <v>133</v>
      </c>
      <c r="F76">
        <v>6</v>
      </c>
      <c r="G76">
        <v>80</v>
      </c>
      <c r="H76">
        <v>480</v>
      </c>
      <c r="I76" t="str">
        <f>TEXT(Table1[[#This Row],[Order Date]],"MMMM")</f>
        <v>January</v>
      </c>
      <c r="J76">
        <f>MONTH(Table1[[#This Row],[Order Date]])</f>
        <v>1</v>
      </c>
      <c r="K76" t="str">
        <f>TEXT(Table1[[#This Row],[Order Date]],"MMM")</f>
        <v>Jan</v>
      </c>
    </row>
    <row r="77" spans="1:11" x14ac:dyDescent="0.3">
      <c r="A77" s="15">
        <v>45666</v>
      </c>
      <c r="B77" t="s">
        <v>132</v>
      </c>
      <c r="C77" t="s">
        <v>110</v>
      </c>
      <c r="D77" t="s">
        <v>76</v>
      </c>
      <c r="E77" t="s">
        <v>133</v>
      </c>
      <c r="F77">
        <v>7</v>
      </c>
      <c r="G77">
        <v>45</v>
      </c>
      <c r="H77">
        <v>315</v>
      </c>
      <c r="I77" t="str">
        <f>TEXT(Table1[[#This Row],[Order Date]],"MMMM")</f>
        <v>January</v>
      </c>
      <c r="J77">
        <f>MONTH(Table1[[#This Row],[Order Date]])</f>
        <v>1</v>
      </c>
      <c r="K77" t="str">
        <f>TEXT(Table1[[#This Row],[Order Date]],"MMM")</f>
        <v>Jan</v>
      </c>
    </row>
    <row r="78" spans="1:11" x14ac:dyDescent="0.3">
      <c r="A78" s="15">
        <v>45661</v>
      </c>
      <c r="B78" t="s">
        <v>132</v>
      </c>
      <c r="C78" t="s">
        <v>112</v>
      </c>
      <c r="D78" t="s">
        <v>77</v>
      </c>
      <c r="E78" t="s">
        <v>134</v>
      </c>
      <c r="F78">
        <v>5</v>
      </c>
      <c r="G78">
        <v>350</v>
      </c>
      <c r="H78">
        <v>1750</v>
      </c>
      <c r="I78" t="str">
        <f>TEXT(Table1[[#This Row],[Order Date]],"MMMM")</f>
        <v>January</v>
      </c>
      <c r="J78">
        <f>MONTH(Table1[[#This Row],[Order Date]])</f>
        <v>1</v>
      </c>
      <c r="K78" t="str">
        <f>TEXT(Table1[[#This Row],[Order Date]],"MMM")</f>
        <v>Jan</v>
      </c>
    </row>
    <row r="79" spans="1:11" x14ac:dyDescent="0.3">
      <c r="A79" s="15">
        <v>45667</v>
      </c>
      <c r="B79" t="s">
        <v>135</v>
      </c>
      <c r="C79" t="s">
        <v>113</v>
      </c>
      <c r="D79" t="s">
        <v>78</v>
      </c>
      <c r="E79" t="s">
        <v>143</v>
      </c>
      <c r="F79">
        <v>2</v>
      </c>
      <c r="G79">
        <v>220</v>
      </c>
      <c r="H79">
        <v>440</v>
      </c>
      <c r="I79" t="str">
        <f>TEXT(Table1[[#This Row],[Order Date]],"MMMM")</f>
        <v>January</v>
      </c>
      <c r="J79">
        <f>MONTH(Table1[[#This Row],[Order Date]])</f>
        <v>1</v>
      </c>
      <c r="K79" t="str">
        <f>TEXT(Table1[[#This Row],[Order Date]],"MMM")</f>
        <v>Jan</v>
      </c>
    </row>
    <row r="80" spans="1:11" x14ac:dyDescent="0.3">
      <c r="A80" s="15">
        <v>45702</v>
      </c>
      <c r="B80" t="s">
        <v>136</v>
      </c>
      <c r="C80" t="s">
        <v>113</v>
      </c>
      <c r="D80" t="s">
        <v>141</v>
      </c>
      <c r="E80" t="s">
        <v>142</v>
      </c>
      <c r="F80">
        <v>5</v>
      </c>
      <c r="G80">
        <v>120</v>
      </c>
      <c r="H80">
        <v>600</v>
      </c>
      <c r="I80" t="str">
        <f>TEXT(Table1[[#This Row],[Order Date]],"MMMM")</f>
        <v>February</v>
      </c>
      <c r="J80">
        <f>MONTH(Table1[[#This Row],[Order Date]])</f>
        <v>2</v>
      </c>
      <c r="K80" t="str">
        <f>TEXT(Table1[[#This Row],[Order Date]],"MMM")</f>
        <v>Feb</v>
      </c>
    </row>
    <row r="81" spans="1:11" x14ac:dyDescent="0.3">
      <c r="A81" s="15">
        <v>45726</v>
      </c>
      <c r="B81" t="s">
        <v>136</v>
      </c>
      <c r="C81" t="s">
        <v>110</v>
      </c>
      <c r="D81" t="s">
        <v>75</v>
      </c>
      <c r="E81" t="s">
        <v>133</v>
      </c>
      <c r="F81">
        <v>2</v>
      </c>
      <c r="G81">
        <v>25</v>
      </c>
      <c r="H81">
        <v>50</v>
      </c>
      <c r="I81" t="str">
        <f>TEXT(Table1[[#This Row],[Order Date]],"MMMM")</f>
        <v>March</v>
      </c>
      <c r="J81">
        <f>MONTH(Table1[[#This Row],[Order Date]])</f>
        <v>3</v>
      </c>
      <c r="K81" t="str">
        <f>TEXT(Table1[[#This Row],[Order Date]],"MMM")</f>
        <v>Mar</v>
      </c>
    </row>
    <row r="82" spans="1:11" x14ac:dyDescent="0.3">
      <c r="A82" s="15">
        <v>45665</v>
      </c>
      <c r="B82" t="s">
        <v>138</v>
      </c>
      <c r="C82" t="s">
        <v>110</v>
      </c>
      <c r="D82" t="s">
        <v>76</v>
      </c>
      <c r="E82" t="s">
        <v>133</v>
      </c>
      <c r="F82">
        <v>4</v>
      </c>
      <c r="G82">
        <v>45</v>
      </c>
      <c r="H82">
        <v>180</v>
      </c>
      <c r="I82" t="str">
        <f>TEXT(Table1[[#This Row],[Order Date]],"MMMM")</f>
        <v>January</v>
      </c>
      <c r="J82">
        <f>MONTH(Table1[[#This Row],[Order Date]])</f>
        <v>1</v>
      </c>
      <c r="K82" t="str">
        <f>TEXT(Table1[[#This Row],[Order Date]],"MMM")</f>
        <v>Jan</v>
      </c>
    </row>
    <row r="83" spans="1:11" x14ac:dyDescent="0.3">
      <c r="A83" s="15">
        <v>45726</v>
      </c>
      <c r="B83" t="s">
        <v>135</v>
      </c>
      <c r="C83" t="s">
        <v>109</v>
      </c>
      <c r="D83" t="s">
        <v>75</v>
      </c>
      <c r="E83" t="s">
        <v>133</v>
      </c>
      <c r="F83">
        <v>5</v>
      </c>
      <c r="G83">
        <v>25</v>
      </c>
      <c r="H83">
        <v>125</v>
      </c>
      <c r="I83" t="str">
        <f>TEXT(Table1[[#This Row],[Order Date]],"MMMM")</f>
        <v>March</v>
      </c>
      <c r="J83">
        <f>MONTH(Table1[[#This Row],[Order Date]])</f>
        <v>3</v>
      </c>
      <c r="K83" t="str">
        <f>TEXT(Table1[[#This Row],[Order Date]],"MMM")</f>
        <v>Mar</v>
      </c>
    </row>
    <row r="84" spans="1:11" x14ac:dyDescent="0.3">
      <c r="A84" s="15">
        <v>45693</v>
      </c>
      <c r="B84" t="s">
        <v>138</v>
      </c>
      <c r="C84" t="s">
        <v>113</v>
      </c>
      <c r="D84" t="s">
        <v>144</v>
      </c>
      <c r="E84" t="s">
        <v>142</v>
      </c>
      <c r="F84">
        <v>1</v>
      </c>
      <c r="G84">
        <v>300</v>
      </c>
      <c r="H84">
        <v>300</v>
      </c>
      <c r="I84" t="str">
        <f>TEXT(Table1[[#This Row],[Order Date]],"MMMM")</f>
        <v>February</v>
      </c>
      <c r="J84">
        <f>MONTH(Table1[[#This Row],[Order Date]])</f>
        <v>2</v>
      </c>
      <c r="K84" t="str">
        <f>TEXT(Table1[[#This Row],[Order Date]],"MMM")</f>
        <v>Feb</v>
      </c>
    </row>
    <row r="85" spans="1:11" x14ac:dyDescent="0.3">
      <c r="A85" s="15">
        <v>45660</v>
      </c>
      <c r="B85" t="s">
        <v>135</v>
      </c>
      <c r="C85" t="s">
        <v>112</v>
      </c>
      <c r="D85" t="s">
        <v>74</v>
      </c>
      <c r="E85" t="s">
        <v>134</v>
      </c>
      <c r="F85">
        <v>4</v>
      </c>
      <c r="G85">
        <v>900</v>
      </c>
      <c r="H85">
        <v>3600</v>
      </c>
      <c r="I85" t="str">
        <f>TEXT(Table1[[#This Row],[Order Date]],"MMMM")</f>
        <v>January</v>
      </c>
      <c r="J85">
        <f>MONTH(Table1[[#This Row],[Order Date]])</f>
        <v>1</v>
      </c>
      <c r="K85" t="str">
        <f>TEXT(Table1[[#This Row],[Order Date]],"MMM")</f>
        <v>Jan</v>
      </c>
    </row>
    <row r="86" spans="1:11" x14ac:dyDescent="0.3">
      <c r="A86" s="15">
        <v>45716</v>
      </c>
      <c r="B86" t="s">
        <v>135</v>
      </c>
      <c r="C86" t="s">
        <v>137</v>
      </c>
      <c r="D86" t="s">
        <v>77</v>
      </c>
      <c r="E86" t="s">
        <v>134</v>
      </c>
      <c r="F86">
        <v>7</v>
      </c>
      <c r="G86">
        <v>350</v>
      </c>
      <c r="H86">
        <v>2450</v>
      </c>
      <c r="I86" t="str">
        <f>TEXT(Table1[[#This Row],[Order Date]],"MMMM")</f>
        <v>February</v>
      </c>
      <c r="J86">
        <f>MONTH(Table1[[#This Row],[Order Date]])</f>
        <v>2</v>
      </c>
      <c r="K86" t="str">
        <f>TEXT(Table1[[#This Row],[Order Date]],"MMM")</f>
        <v>Feb</v>
      </c>
    </row>
    <row r="87" spans="1:11" x14ac:dyDescent="0.3">
      <c r="A87" s="15">
        <v>45723</v>
      </c>
      <c r="B87" t="s">
        <v>136</v>
      </c>
      <c r="C87" t="s">
        <v>140</v>
      </c>
      <c r="D87" t="s">
        <v>78</v>
      </c>
      <c r="E87" t="s">
        <v>143</v>
      </c>
      <c r="F87">
        <v>4</v>
      </c>
      <c r="G87">
        <v>220</v>
      </c>
      <c r="H87">
        <v>880</v>
      </c>
      <c r="I87" t="str">
        <f>TEXT(Table1[[#This Row],[Order Date]],"MMMM")</f>
        <v>March</v>
      </c>
      <c r="J87">
        <f>MONTH(Table1[[#This Row],[Order Date]])</f>
        <v>3</v>
      </c>
      <c r="K87" t="str">
        <f>TEXT(Table1[[#This Row],[Order Date]],"MMM")</f>
        <v>Mar</v>
      </c>
    </row>
    <row r="88" spans="1:11" x14ac:dyDescent="0.3">
      <c r="A88" s="15">
        <v>45684</v>
      </c>
      <c r="B88" t="s">
        <v>138</v>
      </c>
      <c r="C88" t="s">
        <v>113</v>
      </c>
      <c r="D88" t="s">
        <v>76</v>
      </c>
      <c r="E88" t="s">
        <v>133</v>
      </c>
      <c r="F88">
        <v>7</v>
      </c>
      <c r="G88">
        <v>45</v>
      </c>
      <c r="H88">
        <v>315</v>
      </c>
      <c r="I88" t="str">
        <f>TEXT(Table1[[#This Row],[Order Date]],"MMMM")</f>
        <v>January</v>
      </c>
      <c r="J88">
        <f>MONTH(Table1[[#This Row],[Order Date]])</f>
        <v>1</v>
      </c>
      <c r="K88" t="str">
        <f>TEXT(Table1[[#This Row],[Order Date]],"MMM")</f>
        <v>Jan</v>
      </c>
    </row>
    <row r="89" spans="1:11" x14ac:dyDescent="0.3">
      <c r="A89" s="15">
        <v>45675</v>
      </c>
      <c r="B89" t="s">
        <v>138</v>
      </c>
      <c r="C89" t="s">
        <v>137</v>
      </c>
      <c r="D89" t="s">
        <v>74</v>
      </c>
      <c r="E89" t="s">
        <v>134</v>
      </c>
      <c r="F89">
        <v>2</v>
      </c>
      <c r="G89">
        <v>900</v>
      </c>
      <c r="H89">
        <v>1800</v>
      </c>
      <c r="I89" t="str">
        <f>TEXT(Table1[[#This Row],[Order Date]],"MMMM")</f>
        <v>January</v>
      </c>
      <c r="J89">
        <f>MONTH(Table1[[#This Row],[Order Date]])</f>
        <v>1</v>
      </c>
      <c r="K89" t="str">
        <f>TEXT(Table1[[#This Row],[Order Date]],"MMM")</f>
        <v>Jan</v>
      </c>
    </row>
    <row r="90" spans="1:11" x14ac:dyDescent="0.3">
      <c r="A90" s="15">
        <v>45679</v>
      </c>
      <c r="B90" t="s">
        <v>135</v>
      </c>
      <c r="C90" t="s">
        <v>110</v>
      </c>
      <c r="D90" t="s">
        <v>74</v>
      </c>
      <c r="E90" t="s">
        <v>134</v>
      </c>
      <c r="F90">
        <v>2</v>
      </c>
      <c r="G90">
        <v>900</v>
      </c>
      <c r="H90">
        <v>1800</v>
      </c>
      <c r="I90" t="str">
        <f>TEXT(Table1[[#This Row],[Order Date]],"MMMM")</f>
        <v>January</v>
      </c>
      <c r="J90">
        <f>MONTH(Table1[[#This Row],[Order Date]])</f>
        <v>1</v>
      </c>
      <c r="K90" t="str">
        <f>TEXT(Table1[[#This Row],[Order Date]],"MMM")</f>
        <v>Jan</v>
      </c>
    </row>
    <row r="91" spans="1:11" x14ac:dyDescent="0.3">
      <c r="A91" s="15">
        <v>45735</v>
      </c>
      <c r="B91" t="s">
        <v>132</v>
      </c>
      <c r="C91" t="s">
        <v>145</v>
      </c>
      <c r="D91" t="s">
        <v>75</v>
      </c>
      <c r="E91" t="s">
        <v>133</v>
      </c>
      <c r="F91">
        <v>5</v>
      </c>
      <c r="G91">
        <v>25</v>
      </c>
      <c r="H91">
        <v>125</v>
      </c>
      <c r="I91" t="str">
        <f>TEXT(Table1[[#This Row],[Order Date]],"MMMM")</f>
        <v>March</v>
      </c>
      <c r="J91">
        <f>MONTH(Table1[[#This Row],[Order Date]])</f>
        <v>3</v>
      </c>
      <c r="K91" t="str">
        <f>TEXT(Table1[[#This Row],[Order Date]],"MMM")</f>
        <v>Mar</v>
      </c>
    </row>
    <row r="92" spans="1:11" x14ac:dyDescent="0.3">
      <c r="A92" s="15">
        <v>45682</v>
      </c>
      <c r="B92" t="s">
        <v>135</v>
      </c>
      <c r="C92" t="s">
        <v>113</v>
      </c>
      <c r="D92" t="s">
        <v>76</v>
      </c>
      <c r="E92" t="s">
        <v>133</v>
      </c>
      <c r="F92">
        <v>5</v>
      </c>
      <c r="G92">
        <v>45</v>
      </c>
      <c r="H92">
        <v>225</v>
      </c>
      <c r="I92" t="str">
        <f>TEXT(Table1[[#This Row],[Order Date]],"MMMM")</f>
        <v>January</v>
      </c>
      <c r="J92">
        <f>MONTH(Table1[[#This Row],[Order Date]])</f>
        <v>1</v>
      </c>
      <c r="K92" t="str">
        <f>TEXT(Table1[[#This Row],[Order Date]],"MMM")</f>
        <v>Jan</v>
      </c>
    </row>
    <row r="93" spans="1:11" x14ac:dyDescent="0.3">
      <c r="A93" s="15">
        <v>45692</v>
      </c>
      <c r="B93" t="s">
        <v>138</v>
      </c>
      <c r="C93" t="s">
        <v>112</v>
      </c>
      <c r="D93" t="s">
        <v>144</v>
      </c>
      <c r="E93" t="s">
        <v>142</v>
      </c>
      <c r="F93">
        <v>6</v>
      </c>
      <c r="G93">
        <v>300</v>
      </c>
      <c r="H93">
        <v>1800</v>
      </c>
      <c r="I93" t="str">
        <f>TEXT(Table1[[#This Row],[Order Date]],"MMMM")</f>
        <v>February</v>
      </c>
      <c r="J93">
        <f>MONTH(Table1[[#This Row],[Order Date]])</f>
        <v>2</v>
      </c>
      <c r="K93" t="str">
        <f>TEXT(Table1[[#This Row],[Order Date]],"MMM")</f>
        <v>Feb</v>
      </c>
    </row>
    <row r="94" spans="1:11" x14ac:dyDescent="0.3">
      <c r="A94" s="15">
        <v>45663</v>
      </c>
      <c r="B94" t="s">
        <v>138</v>
      </c>
      <c r="C94" t="s">
        <v>109</v>
      </c>
      <c r="D94" t="s">
        <v>78</v>
      </c>
      <c r="E94" t="s">
        <v>143</v>
      </c>
      <c r="F94">
        <v>4</v>
      </c>
      <c r="G94">
        <v>220</v>
      </c>
      <c r="H94">
        <v>880</v>
      </c>
      <c r="I94" t="str">
        <f>TEXT(Table1[[#This Row],[Order Date]],"MMMM")</f>
        <v>January</v>
      </c>
      <c r="J94">
        <f>MONTH(Table1[[#This Row],[Order Date]])</f>
        <v>1</v>
      </c>
      <c r="K94" t="str">
        <f>TEXT(Table1[[#This Row],[Order Date]],"MMM")</f>
        <v>Jan</v>
      </c>
    </row>
    <row r="95" spans="1:11" x14ac:dyDescent="0.3">
      <c r="A95" s="15">
        <v>45659</v>
      </c>
      <c r="B95" t="s">
        <v>132</v>
      </c>
      <c r="C95" t="s">
        <v>145</v>
      </c>
      <c r="D95" t="s">
        <v>144</v>
      </c>
      <c r="E95" t="s">
        <v>142</v>
      </c>
      <c r="F95">
        <v>7</v>
      </c>
      <c r="G95">
        <v>300</v>
      </c>
      <c r="H95">
        <v>2100</v>
      </c>
      <c r="I95" t="str">
        <f>TEXT(Table1[[#This Row],[Order Date]],"MMMM")</f>
        <v>January</v>
      </c>
      <c r="J95">
        <f>MONTH(Table1[[#This Row],[Order Date]])</f>
        <v>1</v>
      </c>
      <c r="K95" t="str">
        <f>TEXT(Table1[[#This Row],[Order Date]],"MMM")</f>
        <v>Jan</v>
      </c>
    </row>
    <row r="96" spans="1:11" x14ac:dyDescent="0.3">
      <c r="A96" s="15">
        <v>45694</v>
      </c>
      <c r="B96" t="s">
        <v>132</v>
      </c>
      <c r="C96" t="s">
        <v>111</v>
      </c>
      <c r="D96" t="s">
        <v>75</v>
      </c>
      <c r="E96" t="s">
        <v>133</v>
      </c>
      <c r="F96">
        <v>4</v>
      </c>
      <c r="G96">
        <v>25</v>
      </c>
      <c r="H96">
        <v>100</v>
      </c>
      <c r="I96" t="str">
        <f>TEXT(Table1[[#This Row],[Order Date]],"MMMM")</f>
        <v>February</v>
      </c>
      <c r="J96">
        <f>MONTH(Table1[[#This Row],[Order Date]])</f>
        <v>2</v>
      </c>
      <c r="K96" t="str">
        <f>TEXT(Table1[[#This Row],[Order Date]],"MMM")</f>
        <v>Feb</v>
      </c>
    </row>
    <row r="97" spans="1:11" x14ac:dyDescent="0.3">
      <c r="A97" s="15">
        <v>45692</v>
      </c>
      <c r="B97" t="s">
        <v>135</v>
      </c>
      <c r="C97" t="s">
        <v>113</v>
      </c>
      <c r="D97" t="s">
        <v>77</v>
      </c>
      <c r="E97" t="s">
        <v>134</v>
      </c>
      <c r="F97">
        <v>3</v>
      </c>
      <c r="G97">
        <v>350</v>
      </c>
      <c r="H97">
        <v>1050</v>
      </c>
      <c r="I97" t="str">
        <f>TEXT(Table1[[#This Row],[Order Date]],"MMMM")</f>
        <v>February</v>
      </c>
      <c r="J97">
        <f>MONTH(Table1[[#This Row],[Order Date]])</f>
        <v>2</v>
      </c>
      <c r="K97" t="str">
        <f>TEXT(Table1[[#This Row],[Order Date]],"MMM")</f>
        <v>Feb</v>
      </c>
    </row>
    <row r="98" spans="1:11" x14ac:dyDescent="0.3">
      <c r="A98" s="15">
        <v>45709</v>
      </c>
      <c r="B98" t="s">
        <v>138</v>
      </c>
      <c r="C98" t="s">
        <v>112</v>
      </c>
      <c r="D98" t="s">
        <v>74</v>
      </c>
      <c r="E98" t="s">
        <v>134</v>
      </c>
      <c r="F98">
        <v>5</v>
      </c>
      <c r="G98">
        <v>900</v>
      </c>
      <c r="H98">
        <v>4500</v>
      </c>
      <c r="I98" t="str">
        <f>TEXT(Table1[[#This Row],[Order Date]],"MMMM")</f>
        <v>February</v>
      </c>
      <c r="J98">
        <f>MONTH(Table1[[#This Row],[Order Date]])</f>
        <v>2</v>
      </c>
      <c r="K98" t="str">
        <f>TEXT(Table1[[#This Row],[Order Date]],"MMM")</f>
        <v>Feb</v>
      </c>
    </row>
    <row r="99" spans="1:11" x14ac:dyDescent="0.3">
      <c r="A99" s="15">
        <v>45669</v>
      </c>
      <c r="B99" t="s">
        <v>138</v>
      </c>
      <c r="C99" t="s">
        <v>145</v>
      </c>
      <c r="D99" t="s">
        <v>76</v>
      </c>
      <c r="E99" t="s">
        <v>133</v>
      </c>
      <c r="F99">
        <v>7</v>
      </c>
      <c r="G99">
        <v>45</v>
      </c>
      <c r="H99">
        <v>315</v>
      </c>
      <c r="I99" t="str">
        <f>TEXT(Table1[[#This Row],[Order Date]],"MMMM")</f>
        <v>January</v>
      </c>
      <c r="J99">
        <f>MONTH(Table1[[#This Row],[Order Date]])</f>
        <v>1</v>
      </c>
      <c r="K99" t="str">
        <f>TEXT(Table1[[#This Row],[Order Date]],"MMM")</f>
        <v>Jan</v>
      </c>
    </row>
    <row r="100" spans="1:11" x14ac:dyDescent="0.3">
      <c r="A100" s="15">
        <v>45678</v>
      </c>
      <c r="B100" t="s">
        <v>132</v>
      </c>
      <c r="C100" t="s">
        <v>137</v>
      </c>
      <c r="D100" t="s">
        <v>78</v>
      </c>
      <c r="E100" t="s">
        <v>143</v>
      </c>
      <c r="F100">
        <v>3</v>
      </c>
      <c r="G100">
        <v>220</v>
      </c>
      <c r="H100">
        <v>660</v>
      </c>
      <c r="I100" t="str">
        <f>TEXT(Table1[[#This Row],[Order Date]],"MMMM")</f>
        <v>January</v>
      </c>
      <c r="J100">
        <f>MONTH(Table1[[#This Row],[Order Date]])</f>
        <v>1</v>
      </c>
      <c r="K100" t="str">
        <f>TEXT(Table1[[#This Row],[Order Date]],"MMM")</f>
        <v>Jan</v>
      </c>
    </row>
    <row r="101" spans="1:11" x14ac:dyDescent="0.3">
      <c r="A101" s="15">
        <v>45748</v>
      </c>
      <c r="B101" t="s">
        <v>136</v>
      </c>
      <c r="C101" t="s">
        <v>111</v>
      </c>
      <c r="D101" t="s">
        <v>76</v>
      </c>
      <c r="E101" t="s">
        <v>133</v>
      </c>
      <c r="F101">
        <v>1</v>
      </c>
      <c r="G101">
        <v>45</v>
      </c>
      <c r="H101">
        <v>45</v>
      </c>
      <c r="I101" t="str">
        <f>TEXT(Table1[[#This Row],[Order Date]],"MMMM")</f>
        <v>April</v>
      </c>
      <c r="J101">
        <f>MONTH(Table1[[#This Row],[Order Date]])</f>
        <v>4</v>
      </c>
      <c r="K101" t="str">
        <f>TEXT(Table1[[#This Row],[Order Date]],"MMM")</f>
        <v>Apr</v>
      </c>
    </row>
    <row r="102" spans="1:11" x14ac:dyDescent="0.3">
      <c r="A102" s="15">
        <v>45749</v>
      </c>
      <c r="B102" t="s">
        <v>136</v>
      </c>
      <c r="C102" t="s">
        <v>146</v>
      </c>
      <c r="D102" t="s">
        <v>76</v>
      </c>
      <c r="E102" t="s">
        <v>133</v>
      </c>
      <c r="F102">
        <v>1</v>
      </c>
      <c r="G102">
        <v>100</v>
      </c>
      <c r="H102">
        <v>100</v>
      </c>
      <c r="I102" t="str">
        <f>TEXT(Table1[[#This Row],[Order Date]],"MMMM")</f>
        <v>April</v>
      </c>
      <c r="J102">
        <f>MONTH(Table1[[#This Row],[Order Date]])</f>
        <v>4</v>
      </c>
      <c r="K102" t="str">
        <f>TEXT(Table1[[#This Row],[Order Date]],"MMM")</f>
        <v>Apr</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6A15E-611F-4D9B-8A39-5C458C1DA786}">
  <dimension ref="A2:B6"/>
  <sheetViews>
    <sheetView workbookViewId="0">
      <selection activeCell="B10" sqref="A1:XFD1048576"/>
    </sheetView>
  </sheetViews>
  <sheetFormatPr defaultRowHeight="14.4" x14ac:dyDescent="0.3"/>
  <cols>
    <col min="1" max="1" width="12.109375" bestFit="1" customWidth="1"/>
    <col min="2" max="2" width="13.109375" bestFit="1" customWidth="1"/>
    <col min="3" max="3" width="10.33203125" bestFit="1" customWidth="1"/>
    <col min="4" max="4" width="8.5546875" bestFit="1" customWidth="1"/>
    <col min="5" max="5" width="6" bestFit="1" customWidth="1"/>
    <col min="6" max="6" width="10.5546875" bestFit="1" customWidth="1"/>
  </cols>
  <sheetData>
    <row r="2" spans="1:2" x14ac:dyDescent="0.3">
      <c r="A2" s="25" t="s">
        <v>130</v>
      </c>
      <c r="B2" t="s">
        <v>133</v>
      </c>
    </row>
    <row r="4" spans="1:2" x14ac:dyDescent="0.3">
      <c r="A4" s="25" t="s">
        <v>192</v>
      </c>
      <c r="B4" t="s">
        <v>191</v>
      </c>
    </row>
    <row r="5" spans="1:2" x14ac:dyDescent="0.3">
      <c r="A5" s="26" t="s">
        <v>135</v>
      </c>
      <c r="B5" s="30">
        <v>225</v>
      </c>
    </row>
    <row r="6" spans="1:2" x14ac:dyDescent="0.3">
      <c r="A6" s="26" t="s">
        <v>190</v>
      </c>
      <c r="B6" s="30">
        <v>225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EA84-C8E0-4EAF-90C8-AAFB8E2A5347}">
  <dimension ref="A3:K8"/>
  <sheetViews>
    <sheetView workbookViewId="0">
      <selection activeCell="H20" sqref="A1:XFD1048576"/>
    </sheetView>
  </sheetViews>
  <sheetFormatPr defaultRowHeight="14.4" x14ac:dyDescent="0.3"/>
  <cols>
    <col min="1" max="1" width="12.44140625" bestFit="1" customWidth="1"/>
    <col min="2" max="2" width="11.5546875" bestFit="1" customWidth="1"/>
    <col min="4" max="4" width="12.44140625" bestFit="1" customWidth="1"/>
    <col min="5" max="5" width="11.5546875" bestFit="1" customWidth="1"/>
    <col min="7" max="7" width="12.44140625" bestFit="1" customWidth="1"/>
    <col min="8" max="8" width="11.5546875" bestFit="1" customWidth="1"/>
    <col min="10" max="10" width="12.44140625" bestFit="1" customWidth="1"/>
    <col min="11" max="11" width="14.44140625" bestFit="1" customWidth="1"/>
  </cols>
  <sheetData>
    <row r="3" spans="1:11" x14ac:dyDescent="0.3">
      <c r="A3" s="25" t="s">
        <v>195</v>
      </c>
      <c r="B3" t="s">
        <v>191</v>
      </c>
      <c r="D3" s="25" t="s">
        <v>195</v>
      </c>
      <c r="E3" t="s">
        <v>191</v>
      </c>
      <c r="G3" s="25" t="s">
        <v>195</v>
      </c>
      <c r="H3" t="s">
        <v>191</v>
      </c>
      <c r="J3" s="25" t="s">
        <v>195</v>
      </c>
      <c r="K3" t="s">
        <v>196</v>
      </c>
    </row>
    <row r="4" spans="1:11" x14ac:dyDescent="0.3">
      <c r="A4" s="26" t="s">
        <v>138</v>
      </c>
      <c r="B4" s="30">
        <v>2735</v>
      </c>
      <c r="D4" s="26" t="s">
        <v>133</v>
      </c>
      <c r="E4" s="30">
        <v>10985</v>
      </c>
      <c r="G4" s="26" t="s">
        <v>151</v>
      </c>
      <c r="H4" s="30">
        <v>51510</v>
      </c>
      <c r="J4" s="26" t="s">
        <v>138</v>
      </c>
      <c r="K4" s="32">
        <v>1897.2222222222222</v>
      </c>
    </row>
    <row r="5" spans="1:11" x14ac:dyDescent="0.3">
      <c r="A5" s="26" t="s">
        <v>132</v>
      </c>
      <c r="B5" s="30">
        <v>3645</v>
      </c>
      <c r="D5" s="26" t="s">
        <v>134</v>
      </c>
      <c r="E5" s="30">
        <v>71350</v>
      </c>
      <c r="G5" s="26" t="s">
        <v>152</v>
      </c>
      <c r="H5" s="30">
        <v>28615</v>
      </c>
      <c r="J5" s="26" t="s">
        <v>132</v>
      </c>
      <c r="K5" s="32">
        <v>760</v>
      </c>
    </row>
    <row r="6" spans="1:11" x14ac:dyDescent="0.3">
      <c r="A6" s="26" t="s">
        <v>136</v>
      </c>
      <c r="B6" s="30">
        <v>1375</v>
      </c>
      <c r="D6" s="26" t="s">
        <v>142</v>
      </c>
      <c r="E6" s="30">
        <v>25680</v>
      </c>
      <c r="G6" s="26" t="s">
        <v>153</v>
      </c>
      <c r="H6" s="30">
        <v>34345</v>
      </c>
      <c r="J6" s="26" t="s">
        <v>136</v>
      </c>
      <c r="K6" s="32">
        <v>473.33333333333331</v>
      </c>
    </row>
    <row r="7" spans="1:11" x14ac:dyDescent="0.3">
      <c r="A7" s="26" t="s">
        <v>135</v>
      </c>
      <c r="B7" s="30">
        <v>3230</v>
      </c>
      <c r="D7" s="26" t="s">
        <v>143</v>
      </c>
      <c r="E7" s="30">
        <v>6600</v>
      </c>
      <c r="G7" s="26" t="s">
        <v>154</v>
      </c>
      <c r="H7" s="30">
        <v>145</v>
      </c>
      <c r="J7" s="26" t="s">
        <v>135</v>
      </c>
      <c r="K7" s="32">
        <v>960</v>
      </c>
    </row>
    <row r="8" spans="1:11" x14ac:dyDescent="0.3">
      <c r="A8" s="26" t="s">
        <v>190</v>
      </c>
      <c r="B8" s="30">
        <v>10985</v>
      </c>
      <c r="D8" s="26" t="s">
        <v>190</v>
      </c>
      <c r="E8" s="30">
        <v>114615</v>
      </c>
      <c r="G8" s="26" t="s">
        <v>190</v>
      </c>
      <c r="H8" s="30">
        <v>114615</v>
      </c>
      <c r="J8" s="26" t="s">
        <v>190</v>
      </c>
      <c r="K8" s="30">
        <v>1192.2916666666667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8512-AC9F-4B44-927C-1A09EA839C37}">
  <dimension ref="A1:O14"/>
  <sheetViews>
    <sheetView tabSelected="1" workbookViewId="0">
      <selection activeCell="F23" sqref="F23"/>
    </sheetView>
  </sheetViews>
  <sheetFormatPr defaultRowHeight="14.4" x14ac:dyDescent="0.3"/>
  <cols>
    <col min="1" max="1" width="10.77734375" customWidth="1"/>
    <col min="2" max="2" width="11" customWidth="1"/>
    <col min="3" max="3" width="15.21875" customWidth="1"/>
  </cols>
  <sheetData>
    <row r="1" spans="1:15" x14ac:dyDescent="0.3">
      <c r="A1" t="s">
        <v>163</v>
      </c>
      <c r="D1" t="s">
        <v>149</v>
      </c>
      <c r="G1" t="s">
        <v>164</v>
      </c>
      <c r="J1" t="s">
        <v>166</v>
      </c>
      <c r="M1" t="s">
        <v>169</v>
      </c>
    </row>
    <row r="2" spans="1:15" x14ac:dyDescent="0.3">
      <c r="A2" s="14" t="s">
        <v>22</v>
      </c>
      <c r="B2" s="14" t="s">
        <v>148</v>
      </c>
      <c r="D2" s="14" t="s">
        <v>23</v>
      </c>
      <c r="E2" s="14" t="s">
        <v>24</v>
      </c>
      <c r="G2" s="14" t="s">
        <v>150</v>
      </c>
      <c r="H2" s="14" t="s">
        <v>24</v>
      </c>
      <c r="J2" s="14" t="s">
        <v>165</v>
      </c>
      <c r="K2" s="14" t="s">
        <v>24</v>
      </c>
      <c r="M2" s="14" t="s">
        <v>150</v>
      </c>
      <c r="N2" s="14" t="s">
        <v>167</v>
      </c>
      <c r="O2" s="14" t="s">
        <v>168</v>
      </c>
    </row>
    <row r="3" spans="1:15" x14ac:dyDescent="0.3">
      <c r="A3" t="s">
        <v>132</v>
      </c>
      <c r="B3">
        <v>18450</v>
      </c>
      <c r="D3" t="s">
        <v>74</v>
      </c>
      <c r="E3">
        <v>12000</v>
      </c>
      <c r="G3" t="s">
        <v>151</v>
      </c>
      <c r="H3">
        <v>4200</v>
      </c>
      <c r="J3">
        <v>1000</v>
      </c>
      <c r="K3">
        <v>5200</v>
      </c>
      <c r="M3" t="s">
        <v>151</v>
      </c>
      <c r="N3">
        <v>12000</v>
      </c>
      <c r="O3">
        <v>2200</v>
      </c>
    </row>
    <row r="4" spans="1:15" x14ac:dyDescent="0.3">
      <c r="A4" t="s">
        <v>136</v>
      </c>
      <c r="B4">
        <v>14200</v>
      </c>
      <c r="D4" t="s">
        <v>77</v>
      </c>
      <c r="E4">
        <v>8200</v>
      </c>
      <c r="G4" t="s">
        <v>152</v>
      </c>
      <c r="H4">
        <v>5100</v>
      </c>
      <c r="J4">
        <v>1500</v>
      </c>
      <c r="K4">
        <v>6800</v>
      </c>
      <c r="M4" t="s">
        <v>152</v>
      </c>
      <c r="N4">
        <v>15000</v>
      </c>
      <c r="O4">
        <v>3100</v>
      </c>
    </row>
    <row r="5" spans="1:15" x14ac:dyDescent="0.3">
      <c r="A5" t="s">
        <v>138</v>
      </c>
      <c r="B5">
        <v>16900</v>
      </c>
      <c r="D5" t="s">
        <v>78</v>
      </c>
      <c r="E5">
        <v>5100</v>
      </c>
      <c r="G5" t="s">
        <v>153</v>
      </c>
      <c r="H5">
        <v>4800</v>
      </c>
      <c r="J5">
        <v>2000</v>
      </c>
      <c r="K5">
        <v>8100</v>
      </c>
      <c r="M5" t="s">
        <v>153</v>
      </c>
      <c r="N5">
        <v>17000</v>
      </c>
      <c r="O5">
        <v>3600</v>
      </c>
    </row>
    <row r="6" spans="1:15" x14ac:dyDescent="0.3">
      <c r="A6" t="s">
        <v>135</v>
      </c>
      <c r="B6">
        <v>12750</v>
      </c>
      <c r="D6" t="s">
        <v>76</v>
      </c>
      <c r="E6">
        <v>3400</v>
      </c>
      <c r="G6" t="s">
        <v>154</v>
      </c>
      <c r="H6">
        <v>6300</v>
      </c>
      <c r="J6">
        <v>2500</v>
      </c>
      <c r="K6">
        <v>9300</v>
      </c>
      <c r="M6" t="s">
        <v>154</v>
      </c>
      <c r="N6">
        <v>18000</v>
      </c>
      <c r="O6">
        <v>4100</v>
      </c>
    </row>
    <row r="7" spans="1:15" x14ac:dyDescent="0.3">
      <c r="D7" t="s">
        <v>75</v>
      </c>
      <c r="E7">
        <v>2600</v>
      </c>
      <c r="G7" t="s">
        <v>155</v>
      </c>
      <c r="H7">
        <v>7000</v>
      </c>
      <c r="J7">
        <v>3000</v>
      </c>
      <c r="K7">
        <v>11100</v>
      </c>
      <c r="M7" t="s">
        <v>155</v>
      </c>
      <c r="N7">
        <v>22000</v>
      </c>
      <c r="O7">
        <v>5200</v>
      </c>
    </row>
    <row r="8" spans="1:15" x14ac:dyDescent="0.3">
      <c r="G8" t="s">
        <v>156</v>
      </c>
      <c r="H8">
        <v>7600</v>
      </c>
      <c r="J8">
        <v>3500</v>
      </c>
      <c r="K8">
        <v>12300</v>
      </c>
      <c r="M8" t="s">
        <v>156</v>
      </c>
      <c r="N8">
        <v>25000</v>
      </c>
      <c r="O8">
        <v>6100</v>
      </c>
    </row>
    <row r="9" spans="1:15" x14ac:dyDescent="0.3">
      <c r="G9" t="s">
        <v>157</v>
      </c>
      <c r="H9">
        <v>8100</v>
      </c>
    </row>
    <row r="10" spans="1:15" x14ac:dyDescent="0.3">
      <c r="G10" t="s">
        <v>158</v>
      </c>
      <c r="H10">
        <v>8500</v>
      </c>
    </row>
    <row r="11" spans="1:15" x14ac:dyDescent="0.3">
      <c r="G11" t="s">
        <v>159</v>
      </c>
      <c r="H11">
        <v>7900</v>
      </c>
    </row>
    <row r="12" spans="1:15" x14ac:dyDescent="0.3">
      <c r="G12" t="s">
        <v>160</v>
      </c>
      <c r="H12">
        <v>8800</v>
      </c>
    </row>
    <row r="13" spans="1:15" x14ac:dyDescent="0.3">
      <c r="G13" t="s">
        <v>161</v>
      </c>
      <c r="H13">
        <v>9300</v>
      </c>
    </row>
    <row r="14" spans="1:15" x14ac:dyDescent="0.3">
      <c r="G14" t="s">
        <v>162</v>
      </c>
      <c r="H14">
        <v>10100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7D85-46CA-4A4B-B6F8-86E1E64082DA}">
  <dimension ref="A1"/>
  <sheetViews>
    <sheetView workbookViewId="0">
      <selection activeCell="O4" sqref="A1:XFD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2C6BD-072E-45F9-A0D0-78EF44961D93}">
  <dimension ref="A1:I102"/>
  <sheetViews>
    <sheetView topLeftCell="A2" workbookViewId="0">
      <selection activeCell="A4" sqref="A4"/>
    </sheetView>
  </sheetViews>
  <sheetFormatPr defaultRowHeight="14.4" x14ac:dyDescent="0.3"/>
  <cols>
    <col min="1" max="1" width="17.5546875" customWidth="1"/>
    <col min="2" max="2" width="12.6640625" customWidth="1"/>
    <col min="3" max="3" width="18.77734375" customWidth="1"/>
    <col min="4" max="4" width="12.88671875" customWidth="1"/>
    <col min="5" max="5" width="18.6640625" customWidth="1"/>
    <col min="6" max="6" width="10" customWidth="1"/>
    <col min="7" max="7" width="11" customWidth="1"/>
    <col min="9" max="9" width="17.5546875" customWidth="1"/>
  </cols>
  <sheetData>
    <row r="1" spans="1:9" x14ac:dyDescent="0.3">
      <c r="A1" t="s">
        <v>128</v>
      </c>
      <c r="B1" t="s">
        <v>22</v>
      </c>
      <c r="C1" t="s">
        <v>147</v>
      </c>
      <c r="D1" t="s">
        <v>23</v>
      </c>
      <c r="E1" t="s">
        <v>130</v>
      </c>
      <c r="F1" t="s">
        <v>80</v>
      </c>
      <c r="G1" t="s">
        <v>131</v>
      </c>
      <c r="H1" t="s">
        <v>24</v>
      </c>
      <c r="I1" s="31" t="s">
        <v>194</v>
      </c>
    </row>
    <row r="2" spans="1:9" x14ac:dyDescent="0.3">
      <c r="A2" s="15">
        <v>45700</v>
      </c>
      <c r="B2" t="s">
        <v>132</v>
      </c>
      <c r="C2" t="s">
        <v>62</v>
      </c>
      <c r="D2" t="s">
        <v>76</v>
      </c>
      <c r="E2" t="s">
        <v>133</v>
      </c>
      <c r="F2">
        <v>7</v>
      </c>
      <c r="G2">
        <v>45</v>
      </c>
      <c r="H2">
        <v>315</v>
      </c>
      <c r="I2" s="31" t="str">
        <f>TEXT(Table5[[#This Row],[Order Date]],"MMM")</f>
        <v>Feb</v>
      </c>
    </row>
    <row r="3" spans="1:9" x14ac:dyDescent="0.3">
      <c r="A3" s="15">
        <v>45727</v>
      </c>
      <c r="B3" t="s">
        <v>132</v>
      </c>
      <c r="C3" t="s">
        <v>97</v>
      </c>
      <c r="D3" t="s">
        <v>77</v>
      </c>
      <c r="E3" t="s">
        <v>134</v>
      </c>
      <c r="F3">
        <v>6</v>
      </c>
      <c r="G3">
        <v>350</v>
      </c>
      <c r="H3">
        <v>2100</v>
      </c>
      <c r="I3" s="31" t="str">
        <f>TEXT(Table5[[#This Row],[Order Date]],"MMM")</f>
        <v>Mar</v>
      </c>
    </row>
    <row r="4" spans="1:9" x14ac:dyDescent="0.3">
      <c r="A4" s="15">
        <v>45663</v>
      </c>
      <c r="B4" t="s">
        <v>135</v>
      </c>
      <c r="C4" t="s">
        <v>63</v>
      </c>
      <c r="D4" t="s">
        <v>77</v>
      </c>
      <c r="E4" t="s">
        <v>134</v>
      </c>
      <c r="F4">
        <v>7</v>
      </c>
      <c r="G4">
        <v>350</v>
      </c>
      <c r="H4">
        <v>2450</v>
      </c>
      <c r="I4" s="31" t="str">
        <f>TEXT(Table5[[#This Row],[Order Date]],"MMM")</f>
        <v>Jan</v>
      </c>
    </row>
    <row r="5" spans="1:9" x14ac:dyDescent="0.3">
      <c r="A5" s="15">
        <v>45689</v>
      </c>
      <c r="B5" t="s">
        <v>132</v>
      </c>
      <c r="C5" t="s">
        <v>64</v>
      </c>
      <c r="D5" t="s">
        <v>77</v>
      </c>
      <c r="E5" t="s">
        <v>134</v>
      </c>
      <c r="F5">
        <v>7</v>
      </c>
      <c r="G5">
        <v>350</v>
      </c>
      <c r="H5">
        <v>2450</v>
      </c>
      <c r="I5" s="31" t="str">
        <f>TEXT(Table5[[#This Row],[Order Date]],"MMM")</f>
        <v>Feb</v>
      </c>
    </row>
    <row r="6" spans="1:9" x14ac:dyDescent="0.3">
      <c r="A6" s="15">
        <v>45687</v>
      </c>
      <c r="B6" t="s">
        <v>132</v>
      </c>
      <c r="C6" t="s">
        <v>98</v>
      </c>
      <c r="D6" t="s">
        <v>74</v>
      </c>
      <c r="E6" t="s">
        <v>134</v>
      </c>
      <c r="F6">
        <v>7</v>
      </c>
      <c r="G6">
        <v>900</v>
      </c>
      <c r="H6">
        <v>6300</v>
      </c>
      <c r="I6" s="31" t="str">
        <f>TEXT(Table5[[#This Row],[Order Date]],"MMM")</f>
        <v>Jan</v>
      </c>
    </row>
    <row r="7" spans="1:9" x14ac:dyDescent="0.3">
      <c r="A7" s="15">
        <v>45664</v>
      </c>
      <c r="B7" t="s">
        <v>135</v>
      </c>
      <c r="C7" t="s">
        <v>125</v>
      </c>
      <c r="D7" t="s">
        <v>76</v>
      </c>
      <c r="E7" t="s">
        <v>133</v>
      </c>
      <c r="F7">
        <v>5</v>
      </c>
      <c r="G7">
        <v>45</v>
      </c>
      <c r="H7">
        <v>225</v>
      </c>
      <c r="I7" s="31" t="str">
        <f>TEXT(Table5[[#This Row],[Order Date]],"MMM")</f>
        <v>Jan</v>
      </c>
    </row>
    <row r="8" spans="1:9" x14ac:dyDescent="0.3">
      <c r="A8" s="15">
        <v>45728</v>
      </c>
      <c r="B8" t="s">
        <v>136</v>
      </c>
      <c r="C8" t="s">
        <v>1</v>
      </c>
      <c r="D8" t="s">
        <v>77</v>
      </c>
      <c r="E8" t="s">
        <v>134</v>
      </c>
      <c r="F8">
        <v>5</v>
      </c>
      <c r="G8">
        <v>350</v>
      </c>
      <c r="H8">
        <v>1750</v>
      </c>
      <c r="I8" s="31" t="str">
        <f>TEXT(Table5[[#This Row],[Order Date]],"MMM")</f>
        <v>Mar</v>
      </c>
    </row>
    <row r="9" spans="1:9" x14ac:dyDescent="0.3">
      <c r="A9" s="15">
        <v>45733</v>
      </c>
      <c r="B9" t="s">
        <v>132</v>
      </c>
      <c r="C9" t="s">
        <v>2</v>
      </c>
      <c r="D9" t="s">
        <v>75</v>
      </c>
      <c r="E9" t="s">
        <v>133</v>
      </c>
      <c r="F9">
        <v>6</v>
      </c>
      <c r="G9">
        <v>25</v>
      </c>
      <c r="H9">
        <v>150</v>
      </c>
      <c r="I9" s="31" t="str">
        <f>TEXT(Table5[[#This Row],[Order Date]],"MMM")</f>
        <v>Mar</v>
      </c>
    </row>
    <row r="10" spans="1:9" x14ac:dyDescent="0.3">
      <c r="A10" s="15">
        <v>45731</v>
      </c>
      <c r="B10" t="s">
        <v>135</v>
      </c>
      <c r="C10" t="s">
        <v>3</v>
      </c>
      <c r="D10" t="s">
        <v>74</v>
      </c>
      <c r="E10" t="s">
        <v>134</v>
      </c>
      <c r="F10">
        <v>4</v>
      </c>
      <c r="G10">
        <v>900</v>
      </c>
      <c r="H10">
        <v>3600</v>
      </c>
      <c r="I10" s="31" t="str">
        <f>TEXT(Table5[[#This Row],[Order Date]],"MMM")</f>
        <v>Mar</v>
      </c>
    </row>
    <row r="11" spans="1:9" x14ac:dyDescent="0.3">
      <c r="A11" s="15">
        <v>45699</v>
      </c>
      <c r="B11" t="s">
        <v>138</v>
      </c>
      <c r="C11" t="s">
        <v>4</v>
      </c>
      <c r="D11" t="s">
        <v>139</v>
      </c>
      <c r="E11" t="s">
        <v>133</v>
      </c>
      <c r="F11">
        <v>8</v>
      </c>
      <c r="G11">
        <v>80</v>
      </c>
      <c r="H11">
        <v>640</v>
      </c>
      <c r="I11" s="31" t="str">
        <f>TEXT(Table5[[#This Row],[Order Date]],"MMM")</f>
        <v>Feb</v>
      </c>
    </row>
    <row r="12" spans="1:9" x14ac:dyDescent="0.3">
      <c r="A12" s="15">
        <v>45690</v>
      </c>
      <c r="B12" t="s">
        <v>132</v>
      </c>
      <c r="C12" t="s">
        <v>5</v>
      </c>
      <c r="D12" t="s">
        <v>76</v>
      </c>
      <c r="E12" t="s">
        <v>133</v>
      </c>
      <c r="F12">
        <v>4</v>
      </c>
      <c r="G12">
        <v>45</v>
      </c>
      <c r="H12">
        <v>180</v>
      </c>
      <c r="I12" s="31" t="str">
        <f>TEXT(Table5[[#This Row],[Order Date]],"MMM")</f>
        <v>Feb</v>
      </c>
    </row>
    <row r="13" spans="1:9" x14ac:dyDescent="0.3">
      <c r="A13" s="15">
        <v>45726</v>
      </c>
      <c r="B13" t="s">
        <v>135</v>
      </c>
      <c r="C13" t="s">
        <v>126</v>
      </c>
      <c r="D13" t="s">
        <v>139</v>
      </c>
      <c r="E13" t="s">
        <v>133</v>
      </c>
      <c r="F13">
        <v>6</v>
      </c>
      <c r="G13">
        <v>80</v>
      </c>
      <c r="H13">
        <v>480</v>
      </c>
      <c r="I13" s="31" t="str">
        <f>TEXT(Table5[[#This Row],[Order Date]],"MMM")</f>
        <v>Mar</v>
      </c>
    </row>
    <row r="14" spans="1:9" x14ac:dyDescent="0.3">
      <c r="A14" s="15">
        <v>45736</v>
      </c>
      <c r="B14" t="s">
        <v>135</v>
      </c>
      <c r="C14" t="s">
        <v>127</v>
      </c>
      <c r="D14" t="s">
        <v>77</v>
      </c>
      <c r="E14" t="s">
        <v>134</v>
      </c>
      <c r="F14">
        <v>2</v>
      </c>
      <c r="G14">
        <v>350</v>
      </c>
      <c r="H14">
        <v>700</v>
      </c>
      <c r="I14" s="31" t="str">
        <f>TEXT(Table5[[#This Row],[Order Date]],"MMM")</f>
        <v>Mar</v>
      </c>
    </row>
    <row r="15" spans="1:9" x14ac:dyDescent="0.3">
      <c r="A15" s="15">
        <v>45702</v>
      </c>
      <c r="B15" t="s">
        <v>135</v>
      </c>
      <c r="C15" t="s">
        <v>6</v>
      </c>
      <c r="D15" t="s">
        <v>76</v>
      </c>
      <c r="E15" t="s">
        <v>133</v>
      </c>
      <c r="F15">
        <v>8</v>
      </c>
      <c r="G15">
        <v>45</v>
      </c>
      <c r="H15">
        <v>360</v>
      </c>
      <c r="I15" s="31" t="str">
        <f>TEXT(Table5[[#This Row],[Order Date]],"MMM")</f>
        <v>Feb</v>
      </c>
    </row>
    <row r="16" spans="1:9" x14ac:dyDescent="0.3">
      <c r="A16" s="15">
        <v>45744</v>
      </c>
      <c r="B16" t="s">
        <v>138</v>
      </c>
      <c r="C16" t="s">
        <v>7</v>
      </c>
      <c r="D16" t="s">
        <v>77</v>
      </c>
      <c r="E16" t="s">
        <v>134</v>
      </c>
      <c r="F16">
        <v>6</v>
      </c>
      <c r="G16">
        <v>350</v>
      </c>
      <c r="H16">
        <v>2100</v>
      </c>
      <c r="I16" s="31" t="str">
        <f>TEXT(Table5[[#This Row],[Order Date]],"MMM")</f>
        <v>Mar</v>
      </c>
    </row>
    <row r="17" spans="1:9" x14ac:dyDescent="0.3">
      <c r="A17" s="15">
        <v>45735</v>
      </c>
      <c r="B17" t="s">
        <v>132</v>
      </c>
      <c r="C17" t="s">
        <v>8</v>
      </c>
      <c r="D17" t="s">
        <v>139</v>
      </c>
      <c r="E17" t="s">
        <v>133</v>
      </c>
      <c r="F17">
        <v>8</v>
      </c>
      <c r="G17">
        <v>80</v>
      </c>
      <c r="H17">
        <v>640</v>
      </c>
      <c r="I17" s="31" t="str">
        <f>TEXT(Table5[[#This Row],[Order Date]],"MMM")</f>
        <v>Mar</v>
      </c>
    </row>
    <row r="18" spans="1:9" x14ac:dyDescent="0.3">
      <c r="A18" s="15">
        <v>45693</v>
      </c>
      <c r="B18" t="s">
        <v>132</v>
      </c>
      <c r="C18" t="s">
        <v>9</v>
      </c>
      <c r="D18" t="s">
        <v>139</v>
      </c>
      <c r="E18" t="s">
        <v>133</v>
      </c>
      <c r="F18">
        <v>2</v>
      </c>
      <c r="G18">
        <v>80</v>
      </c>
      <c r="H18">
        <v>160</v>
      </c>
      <c r="I18" s="31" t="str">
        <f>TEXT(Table5[[#This Row],[Order Date]],"MMM")</f>
        <v>Feb</v>
      </c>
    </row>
    <row r="19" spans="1:9" x14ac:dyDescent="0.3">
      <c r="A19" s="15">
        <v>45741</v>
      </c>
      <c r="B19" t="s">
        <v>135</v>
      </c>
      <c r="C19" t="s">
        <v>10</v>
      </c>
      <c r="D19" t="s">
        <v>139</v>
      </c>
      <c r="E19" t="s">
        <v>133</v>
      </c>
      <c r="F19">
        <v>5</v>
      </c>
      <c r="G19">
        <v>80</v>
      </c>
      <c r="H19">
        <v>400</v>
      </c>
      <c r="I19" s="31" t="str">
        <f>TEXT(Table5[[#This Row],[Order Date]],"MMM")</f>
        <v>Mar</v>
      </c>
    </row>
    <row r="20" spans="1:9" x14ac:dyDescent="0.3">
      <c r="A20" s="15">
        <v>45661</v>
      </c>
      <c r="B20" t="s">
        <v>136</v>
      </c>
      <c r="C20" t="s">
        <v>11</v>
      </c>
      <c r="D20" t="s">
        <v>139</v>
      </c>
      <c r="E20" t="s">
        <v>133</v>
      </c>
      <c r="F20">
        <v>6</v>
      </c>
      <c r="G20">
        <v>80</v>
      </c>
      <c r="H20">
        <v>480</v>
      </c>
      <c r="I20" s="31" t="str">
        <f>TEXT(Table5[[#This Row],[Order Date]],"MMM")</f>
        <v>Jan</v>
      </c>
    </row>
    <row r="21" spans="1:9" x14ac:dyDescent="0.3">
      <c r="A21" s="15">
        <v>45722</v>
      </c>
      <c r="B21" t="s">
        <v>138</v>
      </c>
      <c r="C21" t="s">
        <v>12</v>
      </c>
      <c r="D21" t="s">
        <v>74</v>
      </c>
      <c r="E21" t="s">
        <v>134</v>
      </c>
      <c r="F21">
        <v>4</v>
      </c>
      <c r="G21">
        <v>900</v>
      </c>
      <c r="H21">
        <v>3600</v>
      </c>
      <c r="I21" s="31" t="str">
        <f>TEXT(Table5[[#This Row],[Order Date]],"MMM")</f>
        <v>Mar</v>
      </c>
    </row>
    <row r="22" spans="1:9" x14ac:dyDescent="0.3">
      <c r="A22" s="15">
        <v>45690</v>
      </c>
      <c r="B22" t="s">
        <v>135</v>
      </c>
      <c r="C22" t="s">
        <v>62</v>
      </c>
      <c r="D22" t="s">
        <v>141</v>
      </c>
      <c r="E22" t="s">
        <v>142</v>
      </c>
      <c r="F22">
        <v>7</v>
      </c>
      <c r="G22">
        <v>120</v>
      </c>
      <c r="H22">
        <v>840</v>
      </c>
      <c r="I22" s="31" t="str">
        <f>TEXT(Table5[[#This Row],[Order Date]],"MMM")</f>
        <v>Feb</v>
      </c>
    </row>
    <row r="23" spans="1:9" x14ac:dyDescent="0.3">
      <c r="A23" s="15">
        <v>45680</v>
      </c>
      <c r="B23" t="s">
        <v>138</v>
      </c>
      <c r="C23" t="s">
        <v>97</v>
      </c>
      <c r="D23" t="s">
        <v>139</v>
      </c>
      <c r="E23" t="s">
        <v>133</v>
      </c>
      <c r="F23">
        <v>7</v>
      </c>
      <c r="G23">
        <v>80</v>
      </c>
      <c r="H23">
        <v>560</v>
      </c>
      <c r="I23" s="31" t="str">
        <f>TEXT(Table5[[#This Row],[Order Date]],"MMM")</f>
        <v>Jan</v>
      </c>
    </row>
    <row r="24" spans="1:9" x14ac:dyDescent="0.3">
      <c r="A24" s="15">
        <v>45714</v>
      </c>
      <c r="B24" t="s">
        <v>138</v>
      </c>
      <c r="C24" t="s">
        <v>63</v>
      </c>
      <c r="D24" t="s">
        <v>78</v>
      </c>
      <c r="E24" t="s">
        <v>143</v>
      </c>
      <c r="F24">
        <v>7</v>
      </c>
      <c r="G24">
        <v>220</v>
      </c>
      <c r="H24">
        <v>1540</v>
      </c>
      <c r="I24" s="31" t="str">
        <f>TEXT(Table5[[#This Row],[Order Date]],"MMM")</f>
        <v>Feb</v>
      </c>
    </row>
    <row r="25" spans="1:9" x14ac:dyDescent="0.3">
      <c r="A25" s="15">
        <v>45688</v>
      </c>
      <c r="B25" t="s">
        <v>136</v>
      </c>
      <c r="C25" t="s">
        <v>64</v>
      </c>
      <c r="D25" t="s">
        <v>76</v>
      </c>
      <c r="E25" t="s">
        <v>133</v>
      </c>
      <c r="F25">
        <v>2</v>
      </c>
      <c r="G25">
        <v>45</v>
      </c>
      <c r="H25">
        <v>90</v>
      </c>
      <c r="I25" s="31" t="str">
        <f>TEXT(Table5[[#This Row],[Order Date]],"MMM")</f>
        <v>Jan</v>
      </c>
    </row>
    <row r="26" spans="1:9" x14ac:dyDescent="0.3">
      <c r="A26" s="15">
        <v>45688</v>
      </c>
      <c r="B26" t="s">
        <v>135</v>
      </c>
      <c r="C26" t="s">
        <v>98</v>
      </c>
      <c r="D26" t="s">
        <v>75</v>
      </c>
      <c r="E26" t="s">
        <v>133</v>
      </c>
      <c r="F26">
        <v>1</v>
      </c>
      <c r="G26">
        <v>25</v>
      </c>
      <c r="H26">
        <v>25</v>
      </c>
      <c r="I26" s="31" t="str">
        <f>TEXT(Table5[[#This Row],[Order Date]],"MMM")</f>
        <v>Jan</v>
      </c>
    </row>
    <row r="27" spans="1:9" x14ac:dyDescent="0.3">
      <c r="A27" s="15">
        <v>45692</v>
      </c>
      <c r="B27" t="s">
        <v>136</v>
      </c>
      <c r="C27" t="s">
        <v>125</v>
      </c>
      <c r="D27" t="s">
        <v>78</v>
      </c>
      <c r="E27" t="s">
        <v>143</v>
      </c>
      <c r="F27">
        <v>1</v>
      </c>
      <c r="G27">
        <v>220</v>
      </c>
      <c r="H27">
        <v>220</v>
      </c>
      <c r="I27" s="31" t="str">
        <f>TEXT(Table5[[#This Row],[Order Date]],"MMM")</f>
        <v>Feb</v>
      </c>
    </row>
    <row r="28" spans="1:9" x14ac:dyDescent="0.3">
      <c r="A28" s="15">
        <v>45727</v>
      </c>
      <c r="B28" t="s">
        <v>136</v>
      </c>
      <c r="C28" t="s">
        <v>1</v>
      </c>
      <c r="D28" t="s">
        <v>144</v>
      </c>
      <c r="E28" t="s">
        <v>142</v>
      </c>
      <c r="F28">
        <v>6</v>
      </c>
      <c r="G28">
        <v>300</v>
      </c>
      <c r="H28">
        <v>1800</v>
      </c>
      <c r="I28" s="31" t="str">
        <f>TEXT(Table5[[#This Row],[Order Date]],"MMM")</f>
        <v>Mar</v>
      </c>
    </row>
    <row r="29" spans="1:9" x14ac:dyDescent="0.3">
      <c r="A29" s="15">
        <v>45717</v>
      </c>
      <c r="B29" t="s">
        <v>135</v>
      </c>
      <c r="C29" t="s">
        <v>2</v>
      </c>
      <c r="D29" t="s">
        <v>141</v>
      </c>
      <c r="E29" t="s">
        <v>142</v>
      </c>
      <c r="F29">
        <v>7</v>
      </c>
      <c r="G29">
        <v>120</v>
      </c>
      <c r="H29">
        <v>840</v>
      </c>
      <c r="I29" s="31" t="str">
        <f>TEXT(Table5[[#This Row],[Order Date]],"MMM")</f>
        <v>Mar</v>
      </c>
    </row>
    <row r="30" spans="1:9" x14ac:dyDescent="0.3">
      <c r="A30" s="15">
        <v>45672</v>
      </c>
      <c r="B30" t="s">
        <v>132</v>
      </c>
      <c r="C30" t="s">
        <v>3</v>
      </c>
      <c r="D30" t="s">
        <v>139</v>
      </c>
      <c r="E30" t="s">
        <v>133</v>
      </c>
      <c r="F30">
        <v>7</v>
      </c>
      <c r="G30">
        <v>80</v>
      </c>
      <c r="H30">
        <v>560</v>
      </c>
      <c r="I30" s="31" t="str">
        <f>TEXT(Table5[[#This Row],[Order Date]],"MMM")</f>
        <v>Jan</v>
      </c>
    </row>
    <row r="31" spans="1:9" x14ac:dyDescent="0.3">
      <c r="A31" s="15">
        <v>45667</v>
      </c>
      <c r="B31" t="s">
        <v>136</v>
      </c>
      <c r="C31" t="s">
        <v>4</v>
      </c>
      <c r="D31" t="s">
        <v>75</v>
      </c>
      <c r="E31" t="s">
        <v>133</v>
      </c>
      <c r="F31">
        <v>8</v>
      </c>
      <c r="G31">
        <v>25</v>
      </c>
      <c r="H31">
        <v>200</v>
      </c>
      <c r="I31" s="31" t="str">
        <f>TEXT(Table5[[#This Row],[Order Date]],"MMM")</f>
        <v>Jan</v>
      </c>
    </row>
    <row r="32" spans="1:9" x14ac:dyDescent="0.3">
      <c r="A32" s="15">
        <v>45702</v>
      </c>
      <c r="B32" t="s">
        <v>132</v>
      </c>
      <c r="C32" t="s">
        <v>5</v>
      </c>
      <c r="D32" t="s">
        <v>74</v>
      </c>
      <c r="E32" t="s">
        <v>134</v>
      </c>
      <c r="F32">
        <v>2</v>
      </c>
      <c r="G32">
        <v>900</v>
      </c>
      <c r="H32">
        <v>1800</v>
      </c>
      <c r="I32" s="31" t="str">
        <f>TEXT(Table5[[#This Row],[Order Date]],"MMM")</f>
        <v>Feb</v>
      </c>
    </row>
    <row r="33" spans="1:9" x14ac:dyDescent="0.3">
      <c r="A33" s="15">
        <v>45727</v>
      </c>
      <c r="B33" t="s">
        <v>132</v>
      </c>
      <c r="C33" t="s">
        <v>126</v>
      </c>
      <c r="D33" t="s">
        <v>77</v>
      </c>
      <c r="E33" t="s">
        <v>134</v>
      </c>
      <c r="F33">
        <v>6</v>
      </c>
      <c r="G33">
        <v>350</v>
      </c>
      <c r="H33">
        <v>2100</v>
      </c>
      <c r="I33" s="31" t="str">
        <f>TEXT(Table5[[#This Row],[Order Date]],"MMM")</f>
        <v>Mar</v>
      </c>
    </row>
    <row r="34" spans="1:9" x14ac:dyDescent="0.3">
      <c r="A34" s="15">
        <v>45685</v>
      </c>
      <c r="B34" t="s">
        <v>138</v>
      </c>
      <c r="C34" t="s">
        <v>127</v>
      </c>
      <c r="D34" t="s">
        <v>141</v>
      </c>
      <c r="E34" t="s">
        <v>142</v>
      </c>
      <c r="F34">
        <v>3</v>
      </c>
      <c r="G34">
        <v>120</v>
      </c>
      <c r="H34">
        <v>360</v>
      </c>
      <c r="I34" s="31" t="str">
        <f>TEXT(Table5[[#This Row],[Order Date]],"MMM")</f>
        <v>Jan</v>
      </c>
    </row>
    <row r="35" spans="1:9" x14ac:dyDescent="0.3">
      <c r="A35" s="15">
        <v>45736</v>
      </c>
      <c r="B35" t="s">
        <v>132</v>
      </c>
      <c r="C35" t="s">
        <v>6</v>
      </c>
      <c r="D35" t="s">
        <v>144</v>
      </c>
      <c r="E35" t="s">
        <v>142</v>
      </c>
      <c r="F35">
        <v>8</v>
      </c>
      <c r="G35">
        <v>300</v>
      </c>
      <c r="H35">
        <v>2400</v>
      </c>
      <c r="I35" s="31" t="str">
        <f>TEXT(Table5[[#This Row],[Order Date]],"MMM")</f>
        <v>Mar</v>
      </c>
    </row>
    <row r="36" spans="1:9" x14ac:dyDescent="0.3">
      <c r="A36" s="15">
        <v>45721</v>
      </c>
      <c r="B36" t="s">
        <v>135</v>
      </c>
      <c r="C36" t="s">
        <v>7</v>
      </c>
      <c r="D36" t="s">
        <v>139</v>
      </c>
      <c r="E36" t="s">
        <v>133</v>
      </c>
      <c r="F36">
        <v>8</v>
      </c>
      <c r="G36">
        <v>80</v>
      </c>
      <c r="H36">
        <v>640</v>
      </c>
      <c r="I36" s="31" t="str">
        <f>TEXT(Table5[[#This Row],[Order Date]],"MMM")</f>
        <v>Mar</v>
      </c>
    </row>
    <row r="37" spans="1:9" x14ac:dyDescent="0.3">
      <c r="A37" s="15">
        <v>45669</v>
      </c>
      <c r="B37" t="s">
        <v>138</v>
      </c>
      <c r="C37" t="s">
        <v>8</v>
      </c>
      <c r="D37" t="s">
        <v>76</v>
      </c>
      <c r="E37" t="s">
        <v>133</v>
      </c>
      <c r="F37">
        <v>2</v>
      </c>
      <c r="G37">
        <v>45</v>
      </c>
      <c r="H37">
        <v>90</v>
      </c>
      <c r="I37" s="31" t="str">
        <f>TEXT(Table5[[#This Row],[Order Date]],"MMM")</f>
        <v>Jan</v>
      </c>
    </row>
    <row r="38" spans="1:9" x14ac:dyDescent="0.3">
      <c r="A38" s="15">
        <v>45720</v>
      </c>
      <c r="B38" t="s">
        <v>136</v>
      </c>
      <c r="C38" t="s">
        <v>9</v>
      </c>
      <c r="D38" t="s">
        <v>76</v>
      </c>
      <c r="E38" t="s">
        <v>133</v>
      </c>
      <c r="F38">
        <v>1</v>
      </c>
      <c r="G38">
        <v>45</v>
      </c>
      <c r="H38">
        <v>45</v>
      </c>
      <c r="I38" s="31" t="str">
        <f>TEXT(Table5[[#This Row],[Order Date]],"MMM")</f>
        <v>Mar</v>
      </c>
    </row>
    <row r="39" spans="1:9" x14ac:dyDescent="0.3">
      <c r="A39" s="15">
        <v>45677</v>
      </c>
      <c r="B39" t="s">
        <v>132</v>
      </c>
      <c r="C39" t="s">
        <v>10</v>
      </c>
      <c r="D39" t="s">
        <v>74</v>
      </c>
      <c r="E39" t="s">
        <v>134</v>
      </c>
      <c r="F39">
        <v>5</v>
      </c>
      <c r="G39">
        <v>900</v>
      </c>
      <c r="H39">
        <v>4500</v>
      </c>
      <c r="I39" s="31" t="str">
        <f>TEXT(Table5[[#This Row],[Order Date]],"MMM")</f>
        <v>Jan</v>
      </c>
    </row>
    <row r="40" spans="1:9" x14ac:dyDescent="0.3">
      <c r="A40" s="15">
        <v>45725</v>
      </c>
      <c r="B40" t="s">
        <v>138</v>
      </c>
      <c r="C40" t="s">
        <v>11</v>
      </c>
      <c r="D40" t="s">
        <v>144</v>
      </c>
      <c r="E40" t="s">
        <v>142</v>
      </c>
      <c r="F40">
        <v>3</v>
      </c>
      <c r="G40">
        <v>300</v>
      </c>
      <c r="H40">
        <v>900</v>
      </c>
      <c r="I40" s="31" t="str">
        <f>TEXT(Table5[[#This Row],[Order Date]],"MMM")</f>
        <v>Mar</v>
      </c>
    </row>
    <row r="41" spans="1:9" x14ac:dyDescent="0.3">
      <c r="A41" s="15">
        <v>45727</v>
      </c>
      <c r="B41" t="s">
        <v>136</v>
      </c>
      <c r="C41" t="s">
        <v>12</v>
      </c>
      <c r="D41" t="s">
        <v>144</v>
      </c>
      <c r="E41" t="s">
        <v>142</v>
      </c>
      <c r="F41">
        <v>4</v>
      </c>
      <c r="G41">
        <v>300</v>
      </c>
      <c r="H41">
        <v>1200</v>
      </c>
      <c r="I41" s="31" t="str">
        <f>TEXT(Table5[[#This Row],[Order Date]],"MMM")</f>
        <v>Mar</v>
      </c>
    </row>
    <row r="42" spans="1:9" x14ac:dyDescent="0.3">
      <c r="A42" s="15">
        <v>45710</v>
      </c>
      <c r="B42" t="s">
        <v>135</v>
      </c>
      <c r="C42" t="s">
        <v>62</v>
      </c>
      <c r="D42" t="s">
        <v>75</v>
      </c>
      <c r="E42" t="s">
        <v>133</v>
      </c>
      <c r="F42">
        <v>4</v>
      </c>
      <c r="G42">
        <v>25</v>
      </c>
      <c r="H42">
        <v>100</v>
      </c>
      <c r="I42" s="31" t="str">
        <f>TEXT(Table5[[#This Row],[Order Date]],"MMM")</f>
        <v>Feb</v>
      </c>
    </row>
    <row r="43" spans="1:9" x14ac:dyDescent="0.3">
      <c r="A43" s="15">
        <v>45662</v>
      </c>
      <c r="B43" t="s">
        <v>135</v>
      </c>
      <c r="C43" t="s">
        <v>97</v>
      </c>
      <c r="D43" t="s">
        <v>74</v>
      </c>
      <c r="E43" t="s">
        <v>134</v>
      </c>
      <c r="F43">
        <v>5</v>
      </c>
      <c r="G43">
        <v>900</v>
      </c>
      <c r="H43">
        <v>4500</v>
      </c>
      <c r="I43" s="31" t="str">
        <f>TEXT(Table5[[#This Row],[Order Date]],"MMM")</f>
        <v>Jan</v>
      </c>
    </row>
    <row r="44" spans="1:9" x14ac:dyDescent="0.3">
      <c r="A44" s="15">
        <v>45683</v>
      </c>
      <c r="B44" t="s">
        <v>138</v>
      </c>
      <c r="C44" t="s">
        <v>63</v>
      </c>
      <c r="D44" t="s">
        <v>144</v>
      </c>
      <c r="E44" t="s">
        <v>142</v>
      </c>
      <c r="F44">
        <v>8</v>
      </c>
      <c r="G44">
        <v>300</v>
      </c>
      <c r="H44">
        <v>2400</v>
      </c>
      <c r="I44" s="31" t="str">
        <f>TEXT(Table5[[#This Row],[Order Date]],"MMM")</f>
        <v>Jan</v>
      </c>
    </row>
    <row r="45" spans="1:9" x14ac:dyDescent="0.3">
      <c r="A45" s="15">
        <v>45669</v>
      </c>
      <c r="B45" t="s">
        <v>136</v>
      </c>
      <c r="C45" t="s">
        <v>64</v>
      </c>
      <c r="D45" t="s">
        <v>75</v>
      </c>
      <c r="E45" t="s">
        <v>133</v>
      </c>
      <c r="F45">
        <v>2</v>
      </c>
      <c r="G45">
        <v>25</v>
      </c>
      <c r="H45">
        <v>50</v>
      </c>
      <c r="I45" s="31" t="str">
        <f>TEXT(Table5[[#This Row],[Order Date]],"MMM")</f>
        <v>Jan</v>
      </c>
    </row>
    <row r="46" spans="1:9" x14ac:dyDescent="0.3">
      <c r="A46" s="15">
        <v>45684</v>
      </c>
      <c r="B46" t="s">
        <v>135</v>
      </c>
      <c r="C46" t="s">
        <v>98</v>
      </c>
      <c r="D46" t="s">
        <v>144</v>
      </c>
      <c r="E46" t="s">
        <v>142</v>
      </c>
      <c r="F46">
        <v>4</v>
      </c>
      <c r="G46">
        <v>300</v>
      </c>
      <c r="H46">
        <v>1200</v>
      </c>
      <c r="I46" s="31" t="str">
        <f>TEXT(Table5[[#This Row],[Order Date]],"MMM")</f>
        <v>Jan</v>
      </c>
    </row>
    <row r="47" spans="1:9" x14ac:dyDescent="0.3">
      <c r="A47" s="15">
        <v>45720</v>
      </c>
      <c r="B47" t="s">
        <v>132</v>
      </c>
      <c r="C47" t="s">
        <v>125</v>
      </c>
      <c r="D47" t="s">
        <v>144</v>
      </c>
      <c r="E47" t="s">
        <v>142</v>
      </c>
      <c r="F47">
        <v>2</v>
      </c>
      <c r="G47">
        <v>300</v>
      </c>
      <c r="H47">
        <v>600</v>
      </c>
      <c r="I47" s="31" t="str">
        <f>TEXT(Table5[[#This Row],[Order Date]],"MMM")</f>
        <v>Mar</v>
      </c>
    </row>
    <row r="48" spans="1:9" x14ac:dyDescent="0.3">
      <c r="A48" s="15">
        <v>45684</v>
      </c>
      <c r="B48" t="s">
        <v>135</v>
      </c>
      <c r="C48" t="s">
        <v>1</v>
      </c>
      <c r="D48" t="s">
        <v>139</v>
      </c>
      <c r="E48" t="s">
        <v>133</v>
      </c>
      <c r="F48">
        <v>3</v>
      </c>
      <c r="G48">
        <v>80</v>
      </c>
      <c r="H48">
        <v>240</v>
      </c>
      <c r="I48" s="31" t="str">
        <f>TEXT(Table5[[#This Row],[Order Date]],"MMM")</f>
        <v>Jan</v>
      </c>
    </row>
    <row r="49" spans="1:9" x14ac:dyDescent="0.3">
      <c r="A49" s="15">
        <v>45670</v>
      </c>
      <c r="B49" t="s">
        <v>135</v>
      </c>
      <c r="C49" t="s">
        <v>2</v>
      </c>
      <c r="D49" t="s">
        <v>141</v>
      </c>
      <c r="E49" t="s">
        <v>142</v>
      </c>
      <c r="F49">
        <v>8</v>
      </c>
      <c r="G49">
        <v>120</v>
      </c>
      <c r="H49">
        <v>960</v>
      </c>
      <c r="I49" s="31" t="str">
        <f>TEXT(Table5[[#This Row],[Order Date]],"MMM")</f>
        <v>Jan</v>
      </c>
    </row>
    <row r="50" spans="1:9" x14ac:dyDescent="0.3">
      <c r="A50" s="15">
        <v>45679</v>
      </c>
      <c r="B50" t="s">
        <v>132</v>
      </c>
      <c r="C50" t="s">
        <v>3</v>
      </c>
      <c r="D50" t="s">
        <v>76</v>
      </c>
      <c r="E50" t="s">
        <v>133</v>
      </c>
      <c r="F50">
        <v>3</v>
      </c>
      <c r="G50">
        <v>45</v>
      </c>
      <c r="H50">
        <v>135</v>
      </c>
      <c r="I50" s="31" t="str">
        <f>TEXT(Table5[[#This Row],[Order Date]],"MMM")</f>
        <v>Jan</v>
      </c>
    </row>
    <row r="51" spans="1:9" x14ac:dyDescent="0.3">
      <c r="A51" s="15">
        <v>45734</v>
      </c>
      <c r="B51" t="s">
        <v>135</v>
      </c>
      <c r="C51" t="s">
        <v>4</v>
      </c>
      <c r="D51" t="s">
        <v>139</v>
      </c>
      <c r="E51" t="s">
        <v>133</v>
      </c>
      <c r="F51">
        <v>3</v>
      </c>
      <c r="G51">
        <v>80</v>
      </c>
      <c r="H51">
        <v>240</v>
      </c>
      <c r="I51" s="31" t="str">
        <f>TEXT(Table5[[#This Row],[Order Date]],"MMM")</f>
        <v>Mar</v>
      </c>
    </row>
    <row r="52" spans="1:9" x14ac:dyDescent="0.3">
      <c r="A52" s="15">
        <v>45678</v>
      </c>
      <c r="B52" t="s">
        <v>132</v>
      </c>
      <c r="C52" t="s">
        <v>5</v>
      </c>
      <c r="D52" t="s">
        <v>76</v>
      </c>
      <c r="E52" t="s">
        <v>133</v>
      </c>
      <c r="F52">
        <v>1</v>
      </c>
      <c r="G52">
        <v>45</v>
      </c>
      <c r="H52">
        <v>45</v>
      </c>
      <c r="I52" s="31" t="str">
        <f>TEXT(Table5[[#This Row],[Order Date]],"MMM")</f>
        <v>Jan</v>
      </c>
    </row>
    <row r="53" spans="1:9" x14ac:dyDescent="0.3">
      <c r="A53" s="15">
        <v>45726</v>
      </c>
      <c r="B53" t="s">
        <v>136</v>
      </c>
      <c r="C53" t="s">
        <v>126</v>
      </c>
      <c r="D53" t="s">
        <v>76</v>
      </c>
      <c r="E53" t="s">
        <v>133</v>
      </c>
      <c r="F53">
        <v>7</v>
      </c>
      <c r="G53">
        <v>45</v>
      </c>
      <c r="H53">
        <v>315</v>
      </c>
      <c r="I53" s="31" t="str">
        <f>TEXT(Table5[[#This Row],[Order Date]],"MMM")</f>
        <v>Mar</v>
      </c>
    </row>
    <row r="54" spans="1:9" x14ac:dyDescent="0.3">
      <c r="A54" s="15">
        <v>45662</v>
      </c>
      <c r="B54" t="s">
        <v>138</v>
      </c>
      <c r="C54" t="s">
        <v>127</v>
      </c>
      <c r="D54" t="s">
        <v>78</v>
      </c>
      <c r="E54" t="s">
        <v>143</v>
      </c>
      <c r="F54">
        <v>4</v>
      </c>
      <c r="G54">
        <v>220</v>
      </c>
      <c r="H54">
        <v>880</v>
      </c>
      <c r="I54" s="31" t="str">
        <f>TEXT(Table5[[#This Row],[Order Date]],"MMM")</f>
        <v>Jan</v>
      </c>
    </row>
    <row r="55" spans="1:9" x14ac:dyDescent="0.3">
      <c r="A55" s="15">
        <v>45734</v>
      </c>
      <c r="B55" t="s">
        <v>135</v>
      </c>
      <c r="C55" t="s">
        <v>6</v>
      </c>
      <c r="D55" t="s">
        <v>144</v>
      </c>
      <c r="E55" t="s">
        <v>142</v>
      </c>
      <c r="F55">
        <v>5</v>
      </c>
      <c r="G55">
        <v>300</v>
      </c>
      <c r="H55">
        <v>1500</v>
      </c>
      <c r="I55" s="31" t="str">
        <f>TEXT(Table5[[#This Row],[Order Date]],"MMM")</f>
        <v>Mar</v>
      </c>
    </row>
    <row r="56" spans="1:9" x14ac:dyDescent="0.3">
      <c r="A56" s="15">
        <v>45666</v>
      </c>
      <c r="B56" t="s">
        <v>135</v>
      </c>
      <c r="C56" t="s">
        <v>7</v>
      </c>
      <c r="D56" t="s">
        <v>144</v>
      </c>
      <c r="E56" t="s">
        <v>142</v>
      </c>
      <c r="F56">
        <v>8</v>
      </c>
      <c r="G56">
        <v>300</v>
      </c>
      <c r="H56">
        <v>2400</v>
      </c>
      <c r="I56" s="31" t="str">
        <f>TEXT(Table5[[#This Row],[Order Date]],"MMM")</f>
        <v>Jan</v>
      </c>
    </row>
    <row r="57" spans="1:9" x14ac:dyDescent="0.3">
      <c r="A57" s="15">
        <v>45727</v>
      </c>
      <c r="B57" t="s">
        <v>135</v>
      </c>
      <c r="C57" t="s">
        <v>8</v>
      </c>
      <c r="D57" t="s">
        <v>76</v>
      </c>
      <c r="E57" t="s">
        <v>133</v>
      </c>
      <c r="F57">
        <v>1</v>
      </c>
      <c r="G57">
        <v>45</v>
      </c>
      <c r="H57">
        <v>45</v>
      </c>
      <c r="I57" s="31" t="str">
        <f>TEXT(Table5[[#This Row],[Order Date]],"MMM")</f>
        <v>Mar</v>
      </c>
    </row>
    <row r="58" spans="1:9" x14ac:dyDescent="0.3">
      <c r="A58" s="15">
        <v>45736</v>
      </c>
      <c r="B58" t="s">
        <v>136</v>
      </c>
      <c r="C58" t="s">
        <v>9</v>
      </c>
      <c r="D58" t="s">
        <v>74</v>
      </c>
      <c r="E58" t="s">
        <v>134</v>
      </c>
      <c r="F58">
        <v>3</v>
      </c>
      <c r="G58">
        <v>900</v>
      </c>
      <c r="H58">
        <v>2700</v>
      </c>
      <c r="I58" s="31" t="str">
        <f>TEXT(Table5[[#This Row],[Order Date]],"MMM")</f>
        <v>Mar</v>
      </c>
    </row>
    <row r="59" spans="1:9" x14ac:dyDescent="0.3">
      <c r="A59" s="15">
        <v>45719</v>
      </c>
      <c r="B59" t="s">
        <v>138</v>
      </c>
      <c r="C59" t="s">
        <v>10</v>
      </c>
      <c r="D59" t="s">
        <v>77</v>
      </c>
      <c r="E59" t="s">
        <v>134</v>
      </c>
      <c r="F59">
        <v>1</v>
      </c>
      <c r="G59">
        <v>350</v>
      </c>
      <c r="H59">
        <v>350</v>
      </c>
      <c r="I59" s="31" t="str">
        <f>TEXT(Table5[[#This Row],[Order Date]],"MMM")</f>
        <v>Mar</v>
      </c>
    </row>
    <row r="60" spans="1:9" x14ac:dyDescent="0.3">
      <c r="A60" s="15">
        <v>45672</v>
      </c>
      <c r="B60" t="s">
        <v>136</v>
      </c>
      <c r="C60" t="s">
        <v>11</v>
      </c>
      <c r="D60" t="s">
        <v>74</v>
      </c>
      <c r="E60" t="s">
        <v>134</v>
      </c>
      <c r="F60">
        <v>4</v>
      </c>
      <c r="G60">
        <v>900</v>
      </c>
      <c r="H60">
        <v>3600</v>
      </c>
      <c r="I60" s="31" t="str">
        <f>TEXT(Table5[[#This Row],[Order Date]],"MMM")</f>
        <v>Jan</v>
      </c>
    </row>
    <row r="61" spans="1:9" x14ac:dyDescent="0.3">
      <c r="A61" s="15">
        <v>45664</v>
      </c>
      <c r="B61" t="s">
        <v>132</v>
      </c>
      <c r="C61" t="s">
        <v>12</v>
      </c>
      <c r="D61" t="s">
        <v>77</v>
      </c>
      <c r="E61" t="s">
        <v>134</v>
      </c>
      <c r="F61">
        <v>8</v>
      </c>
      <c r="G61">
        <v>350</v>
      </c>
      <c r="H61">
        <v>2800</v>
      </c>
      <c r="I61" s="31" t="str">
        <f>TEXT(Table5[[#This Row],[Order Date]],"MMM")</f>
        <v>Jan</v>
      </c>
    </row>
    <row r="62" spans="1:9" x14ac:dyDescent="0.3">
      <c r="A62" s="15">
        <v>45715</v>
      </c>
      <c r="B62" t="s">
        <v>138</v>
      </c>
      <c r="C62" t="s">
        <v>62</v>
      </c>
      <c r="D62" t="s">
        <v>144</v>
      </c>
      <c r="E62" t="s">
        <v>142</v>
      </c>
      <c r="F62">
        <v>4</v>
      </c>
      <c r="G62">
        <v>300</v>
      </c>
      <c r="H62">
        <v>1200</v>
      </c>
      <c r="I62" s="31" t="str">
        <f>TEXT(Table5[[#This Row],[Order Date]],"MMM")</f>
        <v>Feb</v>
      </c>
    </row>
    <row r="63" spans="1:9" x14ac:dyDescent="0.3">
      <c r="A63" s="15">
        <v>45724</v>
      </c>
      <c r="B63" t="s">
        <v>138</v>
      </c>
      <c r="C63" t="s">
        <v>97</v>
      </c>
      <c r="D63" t="s">
        <v>139</v>
      </c>
      <c r="E63" t="s">
        <v>133</v>
      </c>
      <c r="F63">
        <v>4</v>
      </c>
      <c r="G63">
        <v>80</v>
      </c>
      <c r="H63">
        <v>320</v>
      </c>
      <c r="I63" s="31" t="str">
        <f>TEXT(Table5[[#This Row],[Order Date]],"MMM")</f>
        <v>Mar</v>
      </c>
    </row>
    <row r="64" spans="1:9" x14ac:dyDescent="0.3">
      <c r="A64" s="15">
        <v>45716</v>
      </c>
      <c r="B64" t="s">
        <v>132</v>
      </c>
      <c r="C64" t="s">
        <v>63</v>
      </c>
      <c r="D64" t="s">
        <v>76</v>
      </c>
      <c r="E64" t="s">
        <v>133</v>
      </c>
      <c r="F64">
        <v>7</v>
      </c>
      <c r="G64">
        <v>45</v>
      </c>
      <c r="H64">
        <v>315</v>
      </c>
      <c r="I64" s="31" t="str">
        <f>TEXT(Table5[[#This Row],[Order Date]],"MMM")</f>
        <v>Feb</v>
      </c>
    </row>
    <row r="65" spans="1:9" x14ac:dyDescent="0.3">
      <c r="A65" s="15">
        <v>45715</v>
      </c>
      <c r="B65" t="s">
        <v>136</v>
      </c>
      <c r="C65" t="s">
        <v>64</v>
      </c>
      <c r="D65" t="s">
        <v>144</v>
      </c>
      <c r="E65" t="s">
        <v>142</v>
      </c>
      <c r="F65">
        <v>2</v>
      </c>
      <c r="G65">
        <v>300</v>
      </c>
      <c r="H65">
        <v>600</v>
      </c>
      <c r="I65" s="31" t="str">
        <f>TEXT(Table5[[#This Row],[Order Date]],"MMM")</f>
        <v>Feb</v>
      </c>
    </row>
    <row r="66" spans="1:9" x14ac:dyDescent="0.3">
      <c r="A66" s="15">
        <v>45668</v>
      </c>
      <c r="B66" t="s">
        <v>132</v>
      </c>
      <c r="C66" t="s">
        <v>98</v>
      </c>
      <c r="D66" t="s">
        <v>75</v>
      </c>
      <c r="E66" t="s">
        <v>133</v>
      </c>
      <c r="F66">
        <v>5</v>
      </c>
      <c r="G66">
        <v>25</v>
      </c>
      <c r="H66">
        <v>125</v>
      </c>
      <c r="I66" s="31" t="str">
        <f>TEXT(Table5[[#This Row],[Order Date]],"MMM")</f>
        <v>Jan</v>
      </c>
    </row>
    <row r="67" spans="1:9" x14ac:dyDescent="0.3">
      <c r="A67" s="15">
        <v>45741</v>
      </c>
      <c r="B67" t="s">
        <v>138</v>
      </c>
      <c r="C67" t="s">
        <v>125</v>
      </c>
      <c r="D67" t="s">
        <v>144</v>
      </c>
      <c r="E67" t="s">
        <v>142</v>
      </c>
      <c r="F67">
        <v>3</v>
      </c>
      <c r="G67">
        <v>300</v>
      </c>
      <c r="H67">
        <v>900</v>
      </c>
      <c r="I67" s="31" t="str">
        <f>TEXT(Table5[[#This Row],[Order Date]],"MMM")</f>
        <v>Mar</v>
      </c>
    </row>
    <row r="68" spans="1:9" x14ac:dyDescent="0.3">
      <c r="A68" s="15">
        <v>45718</v>
      </c>
      <c r="B68" t="s">
        <v>135</v>
      </c>
      <c r="C68" t="s">
        <v>1</v>
      </c>
      <c r="D68" t="s">
        <v>75</v>
      </c>
      <c r="E68" t="s">
        <v>133</v>
      </c>
      <c r="F68">
        <v>2</v>
      </c>
      <c r="G68">
        <v>25</v>
      </c>
      <c r="H68">
        <v>50</v>
      </c>
      <c r="I68" s="31" t="str">
        <f>TEXT(Table5[[#This Row],[Order Date]],"MMM")</f>
        <v>Mar</v>
      </c>
    </row>
    <row r="69" spans="1:9" x14ac:dyDescent="0.3">
      <c r="A69" s="15">
        <v>45679</v>
      </c>
      <c r="B69" t="s">
        <v>135</v>
      </c>
      <c r="C69" t="s">
        <v>2</v>
      </c>
      <c r="D69" t="s">
        <v>75</v>
      </c>
      <c r="E69" t="s">
        <v>133</v>
      </c>
      <c r="F69">
        <v>3</v>
      </c>
      <c r="G69">
        <v>25</v>
      </c>
      <c r="H69">
        <v>75</v>
      </c>
      <c r="I69" s="31" t="str">
        <f>TEXT(Table5[[#This Row],[Order Date]],"MMM")</f>
        <v>Jan</v>
      </c>
    </row>
    <row r="70" spans="1:9" x14ac:dyDescent="0.3">
      <c r="A70" s="15">
        <v>45702</v>
      </c>
      <c r="B70" t="s">
        <v>138</v>
      </c>
      <c r="C70" t="s">
        <v>3</v>
      </c>
      <c r="D70" t="s">
        <v>141</v>
      </c>
      <c r="E70" t="s">
        <v>142</v>
      </c>
      <c r="F70">
        <v>4</v>
      </c>
      <c r="G70">
        <v>120</v>
      </c>
      <c r="H70">
        <v>480</v>
      </c>
      <c r="I70" s="31" t="str">
        <f>TEXT(Table5[[#This Row],[Order Date]],"MMM")</f>
        <v>Feb</v>
      </c>
    </row>
    <row r="71" spans="1:9" x14ac:dyDescent="0.3">
      <c r="A71" s="15">
        <v>45670</v>
      </c>
      <c r="B71" t="s">
        <v>138</v>
      </c>
      <c r="C71" t="s">
        <v>4</v>
      </c>
      <c r="D71" t="s">
        <v>144</v>
      </c>
      <c r="E71" t="s">
        <v>142</v>
      </c>
      <c r="F71">
        <v>1</v>
      </c>
      <c r="G71">
        <v>300</v>
      </c>
      <c r="H71">
        <v>300</v>
      </c>
      <c r="I71" s="31" t="str">
        <f>TEXT(Table5[[#This Row],[Order Date]],"MMM")</f>
        <v>Jan</v>
      </c>
    </row>
    <row r="72" spans="1:9" x14ac:dyDescent="0.3">
      <c r="A72" s="15">
        <v>45715</v>
      </c>
      <c r="B72" t="s">
        <v>138</v>
      </c>
      <c r="C72" t="s">
        <v>5</v>
      </c>
      <c r="D72" t="s">
        <v>74</v>
      </c>
      <c r="E72" t="s">
        <v>134</v>
      </c>
      <c r="F72">
        <v>7</v>
      </c>
      <c r="G72">
        <v>900</v>
      </c>
      <c r="H72">
        <v>6300</v>
      </c>
      <c r="I72" s="31" t="str">
        <f>TEXT(Table5[[#This Row],[Order Date]],"MMM")</f>
        <v>Feb</v>
      </c>
    </row>
    <row r="73" spans="1:9" x14ac:dyDescent="0.3">
      <c r="A73" s="15">
        <v>45724</v>
      </c>
      <c r="B73" t="s">
        <v>136</v>
      </c>
      <c r="C73" t="s">
        <v>126</v>
      </c>
      <c r="D73" t="s">
        <v>77</v>
      </c>
      <c r="E73" t="s">
        <v>134</v>
      </c>
      <c r="F73">
        <v>2</v>
      </c>
      <c r="G73">
        <v>350</v>
      </c>
      <c r="H73">
        <v>700</v>
      </c>
      <c r="I73" s="31" t="str">
        <f>TEXT(Table5[[#This Row],[Order Date]],"MMM")</f>
        <v>Mar</v>
      </c>
    </row>
    <row r="74" spans="1:9" x14ac:dyDescent="0.3">
      <c r="A74" s="15">
        <v>45669</v>
      </c>
      <c r="B74" t="s">
        <v>132</v>
      </c>
      <c r="C74" t="s">
        <v>127</v>
      </c>
      <c r="D74" t="s">
        <v>78</v>
      </c>
      <c r="E74" t="s">
        <v>143</v>
      </c>
      <c r="F74">
        <v>5</v>
      </c>
      <c r="G74">
        <v>220</v>
      </c>
      <c r="H74">
        <v>1100</v>
      </c>
      <c r="I74" s="31" t="str">
        <f>TEXT(Table5[[#This Row],[Order Date]],"MMM")</f>
        <v>Jan</v>
      </c>
    </row>
    <row r="75" spans="1:9" x14ac:dyDescent="0.3">
      <c r="A75" s="15">
        <v>45693</v>
      </c>
      <c r="B75" t="s">
        <v>138</v>
      </c>
      <c r="C75" t="s">
        <v>6</v>
      </c>
      <c r="D75" t="s">
        <v>76</v>
      </c>
      <c r="E75" t="s">
        <v>133</v>
      </c>
      <c r="F75">
        <v>7</v>
      </c>
      <c r="G75">
        <v>45</v>
      </c>
      <c r="H75">
        <v>315</v>
      </c>
      <c r="I75" s="31" t="str">
        <f>TEXT(Table5[[#This Row],[Order Date]],"MMM")</f>
        <v>Feb</v>
      </c>
    </row>
    <row r="76" spans="1:9" x14ac:dyDescent="0.3">
      <c r="A76" s="15">
        <v>45678</v>
      </c>
      <c r="B76" t="s">
        <v>132</v>
      </c>
      <c r="C76" t="s">
        <v>7</v>
      </c>
      <c r="D76" t="s">
        <v>139</v>
      </c>
      <c r="E76" t="s">
        <v>133</v>
      </c>
      <c r="F76">
        <v>6</v>
      </c>
      <c r="G76">
        <v>80</v>
      </c>
      <c r="H76">
        <v>480</v>
      </c>
      <c r="I76" s="31" t="str">
        <f>TEXT(Table5[[#This Row],[Order Date]],"MMM")</f>
        <v>Jan</v>
      </c>
    </row>
    <row r="77" spans="1:9" x14ac:dyDescent="0.3">
      <c r="A77" s="15">
        <v>45666</v>
      </c>
      <c r="B77" t="s">
        <v>132</v>
      </c>
      <c r="C77" t="s">
        <v>8</v>
      </c>
      <c r="D77" t="s">
        <v>76</v>
      </c>
      <c r="E77" t="s">
        <v>133</v>
      </c>
      <c r="F77">
        <v>7</v>
      </c>
      <c r="G77">
        <v>45</v>
      </c>
      <c r="H77">
        <v>315</v>
      </c>
      <c r="I77" s="31" t="str">
        <f>TEXT(Table5[[#This Row],[Order Date]],"MMM")</f>
        <v>Jan</v>
      </c>
    </row>
    <row r="78" spans="1:9" x14ac:dyDescent="0.3">
      <c r="A78" s="15">
        <v>45661</v>
      </c>
      <c r="B78" t="s">
        <v>132</v>
      </c>
      <c r="C78" t="s">
        <v>9</v>
      </c>
      <c r="D78" t="s">
        <v>77</v>
      </c>
      <c r="E78" t="s">
        <v>134</v>
      </c>
      <c r="F78">
        <v>5</v>
      </c>
      <c r="G78">
        <v>350</v>
      </c>
      <c r="H78">
        <v>1750</v>
      </c>
      <c r="I78" s="31" t="str">
        <f>TEXT(Table5[[#This Row],[Order Date]],"MMM")</f>
        <v>Jan</v>
      </c>
    </row>
    <row r="79" spans="1:9" x14ac:dyDescent="0.3">
      <c r="A79" s="15">
        <v>45667</v>
      </c>
      <c r="B79" t="s">
        <v>135</v>
      </c>
      <c r="C79" t="s">
        <v>10</v>
      </c>
      <c r="D79" t="s">
        <v>78</v>
      </c>
      <c r="E79" t="s">
        <v>143</v>
      </c>
      <c r="F79">
        <v>2</v>
      </c>
      <c r="G79">
        <v>220</v>
      </c>
      <c r="H79">
        <v>440</v>
      </c>
      <c r="I79" s="31" t="str">
        <f>TEXT(Table5[[#This Row],[Order Date]],"MMM")</f>
        <v>Jan</v>
      </c>
    </row>
    <row r="80" spans="1:9" x14ac:dyDescent="0.3">
      <c r="A80" s="15">
        <v>45702</v>
      </c>
      <c r="B80" t="s">
        <v>136</v>
      </c>
      <c r="C80" t="s">
        <v>11</v>
      </c>
      <c r="D80" t="s">
        <v>141</v>
      </c>
      <c r="E80" t="s">
        <v>142</v>
      </c>
      <c r="F80">
        <v>5</v>
      </c>
      <c r="G80">
        <v>120</v>
      </c>
      <c r="H80">
        <v>600</v>
      </c>
      <c r="I80" s="31" t="str">
        <f>TEXT(Table5[[#This Row],[Order Date]],"MMM")</f>
        <v>Feb</v>
      </c>
    </row>
    <row r="81" spans="1:9" x14ac:dyDescent="0.3">
      <c r="A81" s="15">
        <v>45726</v>
      </c>
      <c r="B81" t="s">
        <v>136</v>
      </c>
      <c r="C81" t="s">
        <v>12</v>
      </c>
      <c r="D81" t="s">
        <v>75</v>
      </c>
      <c r="E81" t="s">
        <v>133</v>
      </c>
      <c r="F81">
        <v>2</v>
      </c>
      <c r="G81">
        <v>25</v>
      </c>
      <c r="H81">
        <v>50</v>
      </c>
      <c r="I81" s="31" t="str">
        <f>TEXT(Table5[[#This Row],[Order Date]],"MMM")</f>
        <v>Mar</v>
      </c>
    </row>
    <row r="82" spans="1:9" x14ac:dyDescent="0.3">
      <c r="A82" s="15">
        <v>45665</v>
      </c>
      <c r="B82" t="s">
        <v>138</v>
      </c>
      <c r="C82" t="s">
        <v>62</v>
      </c>
      <c r="D82" t="s">
        <v>76</v>
      </c>
      <c r="E82" t="s">
        <v>133</v>
      </c>
      <c r="F82">
        <v>4</v>
      </c>
      <c r="G82">
        <v>45</v>
      </c>
      <c r="H82">
        <v>180</v>
      </c>
      <c r="I82" s="31" t="str">
        <f>TEXT(Table5[[#This Row],[Order Date]],"MMM")</f>
        <v>Jan</v>
      </c>
    </row>
    <row r="83" spans="1:9" x14ac:dyDescent="0.3">
      <c r="A83" s="15">
        <v>45726</v>
      </c>
      <c r="B83" t="s">
        <v>135</v>
      </c>
      <c r="C83" t="s">
        <v>97</v>
      </c>
      <c r="D83" t="s">
        <v>75</v>
      </c>
      <c r="E83" t="s">
        <v>133</v>
      </c>
      <c r="F83">
        <v>5</v>
      </c>
      <c r="G83">
        <v>25</v>
      </c>
      <c r="H83">
        <v>125</v>
      </c>
      <c r="I83" s="31" t="str">
        <f>TEXT(Table5[[#This Row],[Order Date]],"MMM")</f>
        <v>Mar</v>
      </c>
    </row>
    <row r="84" spans="1:9" x14ac:dyDescent="0.3">
      <c r="A84" s="15">
        <v>45693</v>
      </c>
      <c r="B84" t="s">
        <v>138</v>
      </c>
      <c r="C84" t="s">
        <v>63</v>
      </c>
      <c r="D84" t="s">
        <v>144</v>
      </c>
      <c r="E84" t="s">
        <v>142</v>
      </c>
      <c r="F84">
        <v>1</v>
      </c>
      <c r="G84">
        <v>300</v>
      </c>
      <c r="H84">
        <v>300</v>
      </c>
      <c r="I84" s="31" t="str">
        <f>TEXT(Table5[[#This Row],[Order Date]],"MMM")</f>
        <v>Feb</v>
      </c>
    </row>
    <row r="85" spans="1:9" x14ac:dyDescent="0.3">
      <c r="A85" s="15">
        <v>45660</v>
      </c>
      <c r="B85" t="s">
        <v>135</v>
      </c>
      <c r="C85" t="s">
        <v>64</v>
      </c>
      <c r="D85" t="s">
        <v>74</v>
      </c>
      <c r="E85" t="s">
        <v>134</v>
      </c>
      <c r="F85">
        <v>4</v>
      </c>
      <c r="G85">
        <v>900</v>
      </c>
      <c r="H85">
        <v>3600</v>
      </c>
      <c r="I85" s="31" t="str">
        <f>TEXT(Table5[[#This Row],[Order Date]],"MMM")</f>
        <v>Jan</v>
      </c>
    </row>
    <row r="86" spans="1:9" x14ac:dyDescent="0.3">
      <c r="A86" s="15">
        <v>45716</v>
      </c>
      <c r="B86" t="s">
        <v>135</v>
      </c>
      <c r="C86" t="s">
        <v>98</v>
      </c>
      <c r="D86" t="s">
        <v>77</v>
      </c>
      <c r="E86" t="s">
        <v>134</v>
      </c>
      <c r="F86">
        <v>7</v>
      </c>
      <c r="G86">
        <v>350</v>
      </c>
      <c r="H86">
        <v>2450</v>
      </c>
      <c r="I86" s="31" t="str">
        <f>TEXT(Table5[[#This Row],[Order Date]],"MMM")</f>
        <v>Feb</v>
      </c>
    </row>
    <row r="87" spans="1:9" x14ac:dyDescent="0.3">
      <c r="A87" s="15">
        <v>45723</v>
      </c>
      <c r="B87" t="s">
        <v>136</v>
      </c>
      <c r="C87" t="s">
        <v>125</v>
      </c>
      <c r="D87" t="s">
        <v>78</v>
      </c>
      <c r="E87" t="s">
        <v>143</v>
      </c>
      <c r="F87">
        <v>4</v>
      </c>
      <c r="G87">
        <v>220</v>
      </c>
      <c r="H87">
        <v>880</v>
      </c>
      <c r="I87" s="31" t="str">
        <f>TEXT(Table5[[#This Row],[Order Date]],"MMM")</f>
        <v>Mar</v>
      </c>
    </row>
    <row r="88" spans="1:9" x14ac:dyDescent="0.3">
      <c r="A88" s="15">
        <v>45684</v>
      </c>
      <c r="B88" t="s">
        <v>138</v>
      </c>
      <c r="C88" t="s">
        <v>1</v>
      </c>
      <c r="D88" t="s">
        <v>76</v>
      </c>
      <c r="E88" t="s">
        <v>133</v>
      </c>
      <c r="F88">
        <v>7</v>
      </c>
      <c r="G88">
        <v>45</v>
      </c>
      <c r="H88">
        <v>315</v>
      </c>
      <c r="I88" s="31" t="str">
        <f>TEXT(Table5[[#This Row],[Order Date]],"MMM")</f>
        <v>Jan</v>
      </c>
    </row>
    <row r="89" spans="1:9" x14ac:dyDescent="0.3">
      <c r="A89" s="15">
        <v>45675</v>
      </c>
      <c r="B89" t="s">
        <v>138</v>
      </c>
      <c r="C89" t="s">
        <v>2</v>
      </c>
      <c r="D89" t="s">
        <v>74</v>
      </c>
      <c r="E89" t="s">
        <v>134</v>
      </c>
      <c r="F89">
        <v>2</v>
      </c>
      <c r="G89">
        <v>900</v>
      </c>
      <c r="H89">
        <v>1800</v>
      </c>
      <c r="I89" s="31" t="str">
        <f>TEXT(Table5[[#This Row],[Order Date]],"MMM")</f>
        <v>Jan</v>
      </c>
    </row>
    <row r="90" spans="1:9" x14ac:dyDescent="0.3">
      <c r="A90" s="15">
        <v>45679</v>
      </c>
      <c r="B90" t="s">
        <v>135</v>
      </c>
      <c r="C90" t="s">
        <v>3</v>
      </c>
      <c r="D90" t="s">
        <v>74</v>
      </c>
      <c r="E90" t="s">
        <v>134</v>
      </c>
      <c r="F90">
        <v>2</v>
      </c>
      <c r="G90">
        <v>900</v>
      </c>
      <c r="H90">
        <v>1800</v>
      </c>
      <c r="I90" s="31" t="str">
        <f>TEXT(Table5[[#This Row],[Order Date]],"MMM")</f>
        <v>Jan</v>
      </c>
    </row>
    <row r="91" spans="1:9" x14ac:dyDescent="0.3">
      <c r="A91" s="15">
        <v>45735</v>
      </c>
      <c r="B91" t="s">
        <v>132</v>
      </c>
      <c r="C91" t="s">
        <v>4</v>
      </c>
      <c r="D91" t="s">
        <v>75</v>
      </c>
      <c r="E91" t="s">
        <v>133</v>
      </c>
      <c r="F91">
        <v>5</v>
      </c>
      <c r="G91">
        <v>25</v>
      </c>
      <c r="H91">
        <v>125</v>
      </c>
      <c r="I91" s="31" t="str">
        <f>TEXT(Table5[[#This Row],[Order Date]],"MMM")</f>
        <v>Mar</v>
      </c>
    </row>
    <row r="92" spans="1:9" x14ac:dyDescent="0.3">
      <c r="A92" s="15">
        <v>45682</v>
      </c>
      <c r="B92" t="s">
        <v>135</v>
      </c>
      <c r="C92" t="s">
        <v>5</v>
      </c>
      <c r="D92" t="s">
        <v>76</v>
      </c>
      <c r="E92" t="s">
        <v>133</v>
      </c>
      <c r="F92">
        <v>5</v>
      </c>
      <c r="G92">
        <v>45</v>
      </c>
      <c r="H92">
        <v>225</v>
      </c>
      <c r="I92" s="31" t="str">
        <f>TEXT(Table5[[#This Row],[Order Date]],"MMM")</f>
        <v>Jan</v>
      </c>
    </row>
    <row r="93" spans="1:9" x14ac:dyDescent="0.3">
      <c r="A93" s="15">
        <v>45692</v>
      </c>
      <c r="B93" t="s">
        <v>138</v>
      </c>
      <c r="C93" t="s">
        <v>126</v>
      </c>
      <c r="D93" t="s">
        <v>144</v>
      </c>
      <c r="E93" t="s">
        <v>142</v>
      </c>
      <c r="F93">
        <v>6</v>
      </c>
      <c r="G93">
        <v>300</v>
      </c>
      <c r="H93">
        <v>1800</v>
      </c>
      <c r="I93" s="31" t="str">
        <f>TEXT(Table5[[#This Row],[Order Date]],"MMM")</f>
        <v>Feb</v>
      </c>
    </row>
    <row r="94" spans="1:9" x14ac:dyDescent="0.3">
      <c r="A94" s="15">
        <v>45663</v>
      </c>
      <c r="B94" t="s">
        <v>138</v>
      </c>
      <c r="C94" t="s">
        <v>127</v>
      </c>
      <c r="D94" t="s">
        <v>78</v>
      </c>
      <c r="E94" t="s">
        <v>143</v>
      </c>
      <c r="F94">
        <v>4</v>
      </c>
      <c r="G94">
        <v>220</v>
      </c>
      <c r="H94">
        <v>880</v>
      </c>
      <c r="I94" s="31" t="str">
        <f>TEXT(Table5[[#This Row],[Order Date]],"MMM")</f>
        <v>Jan</v>
      </c>
    </row>
    <row r="95" spans="1:9" x14ac:dyDescent="0.3">
      <c r="A95" s="15">
        <v>45659</v>
      </c>
      <c r="B95" t="s">
        <v>132</v>
      </c>
      <c r="C95" t="s">
        <v>6</v>
      </c>
      <c r="D95" t="s">
        <v>144</v>
      </c>
      <c r="E95" t="s">
        <v>142</v>
      </c>
      <c r="F95">
        <v>7</v>
      </c>
      <c r="G95">
        <v>300</v>
      </c>
      <c r="H95">
        <v>2100</v>
      </c>
      <c r="I95" s="31" t="str">
        <f>TEXT(Table5[[#This Row],[Order Date]],"MMM")</f>
        <v>Jan</v>
      </c>
    </row>
    <row r="96" spans="1:9" x14ac:dyDescent="0.3">
      <c r="A96" s="15">
        <v>45694</v>
      </c>
      <c r="B96" t="s">
        <v>132</v>
      </c>
      <c r="C96" t="s">
        <v>7</v>
      </c>
      <c r="D96" t="s">
        <v>75</v>
      </c>
      <c r="E96" t="s">
        <v>133</v>
      </c>
      <c r="F96">
        <v>4</v>
      </c>
      <c r="G96">
        <v>25</v>
      </c>
      <c r="H96">
        <v>100</v>
      </c>
      <c r="I96" s="31" t="str">
        <f>TEXT(Table5[[#This Row],[Order Date]],"MMM")</f>
        <v>Feb</v>
      </c>
    </row>
    <row r="97" spans="1:9" x14ac:dyDescent="0.3">
      <c r="A97" s="15">
        <v>45692</v>
      </c>
      <c r="B97" t="s">
        <v>135</v>
      </c>
      <c r="C97" t="s">
        <v>8</v>
      </c>
      <c r="D97" t="s">
        <v>77</v>
      </c>
      <c r="E97" t="s">
        <v>134</v>
      </c>
      <c r="F97">
        <v>3</v>
      </c>
      <c r="G97">
        <v>350</v>
      </c>
      <c r="H97">
        <v>1050</v>
      </c>
      <c r="I97" s="31" t="str">
        <f>TEXT(Table5[[#This Row],[Order Date]],"MMM")</f>
        <v>Feb</v>
      </c>
    </row>
    <row r="98" spans="1:9" x14ac:dyDescent="0.3">
      <c r="A98" s="15">
        <v>45709</v>
      </c>
      <c r="B98" t="s">
        <v>138</v>
      </c>
      <c r="C98" t="s">
        <v>9</v>
      </c>
      <c r="D98" t="s">
        <v>74</v>
      </c>
      <c r="E98" t="s">
        <v>134</v>
      </c>
      <c r="F98">
        <v>5</v>
      </c>
      <c r="G98">
        <v>900</v>
      </c>
      <c r="H98">
        <v>4500</v>
      </c>
      <c r="I98" s="31" t="str">
        <f>TEXT(Table5[[#This Row],[Order Date]],"MMM")</f>
        <v>Feb</v>
      </c>
    </row>
    <row r="99" spans="1:9" x14ac:dyDescent="0.3">
      <c r="A99" s="15">
        <v>45669</v>
      </c>
      <c r="B99" t="s">
        <v>138</v>
      </c>
      <c r="C99" t="s">
        <v>10</v>
      </c>
      <c r="D99" t="s">
        <v>76</v>
      </c>
      <c r="E99" t="s">
        <v>133</v>
      </c>
      <c r="F99">
        <v>7</v>
      </c>
      <c r="G99">
        <v>45</v>
      </c>
      <c r="H99">
        <v>315</v>
      </c>
      <c r="I99" s="31" t="str">
        <f>TEXT(Table5[[#This Row],[Order Date]],"MMM")</f>
        <v>Jan</v>
      </c>
    </row>
    <row r="100" spans="1:9" x14ac:dyDescent="0.3">
      <c r="A100" s="15">
        <v>45678</v>
      </c>
      <c r="B100" t="s">
        <v>132</v>
      </c>
      <c r="C100" t="s">
        <v>11</v>
      </c>
      <c r="D100" t="s">
        <v>78</v>
      </c>
      <c r="E100" t="s">
        <v>143</v>
      </c>
      <c r="F100">
        <v>3</v>
      </c>
      <c r="G100">
        <v>220</v>
      </c>
      <c r="H100">
        <v>660</v>
      </c>
      <c r="I100" s="31" t="str">
        <f>TEXT(Table5[[#This Row],[Order Date]],"MMM")</f>
        <v>Jan</v>
      </c>
    </row>
    <row r="101" spans="1:9" x14ac:dyDescent="0.3">
      <c r="A101" s="15">
        <v>45748</v>
      </c>
      <c r="B101" t="s">
        <v>136</v>
      </c>
      <c r="C101" t="s">
        <v>12</v>
      </c>
      <c r="D101" t="s">
        <v>76</v>
      </c>
      <c r="E101" t="s">
        <v>133</v>
      </c>
      <c r="F101">
        <v>1</v>
      </c>
      <c r="G101">
        <v>45</v>
      </c>
      <c r="H101">
        <v>45</v>
      </c>
      <c r="I101" s="31" t="str">
        <f>TEXT(Table5[[#This Row],[Order Date]],"MMM")</f>
        <v>Apr</v>
      </c>
    </row>
    <row r="102" spans="1:9" x14ac:dyDescent="0.3">
      <c r="A102" s="15">
        <v>45749</v>
      </c>
      <c r="B102" t="s">
        <v>136</v>
      </c>
      <c r="C102" t="s">
        <v>12</v>
      </c>
      <c r="D102" t="s">
        <v>76</v>
      </c>
      <c r="E102" t="s">
        <v>133</v>
      </c>
      <c r="F102">
        <v>1</v>
      </c>
      <c r="G102">
        <v>100</v>
      </c>
      <c r="H102">
        <v>100</v>
      </c>
      <c r="I102" s="31" t="str">
        <f>TEXT(Table5[[#This Row],[Order Date]],"MMM")</f>
        <v>Apr</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B6C5-6D41-4126-9C08-5D9C0875CD45}">
  <dimension ref="A1:O14"/>
  <sheetViews>
    <sheetView workbookViewId="0">
      <selection activeCell="K11" sqref="A1:XFD1048576"/>
    </sheetView>
  </sheetViews>
  <sheetFormatPr defaultRowHeight="14.4" x14ac:dyDescent="0.3"/>
  <cols>
    <col min="1" max="1" width="10.77734375" customWidth="1"/>
    <col min="2" max="2" width="11" customWidth="1"/>
    <col min="3" max="3" width="15.21875" customWidth="1"/>
  </cols>
  <sheetData>
    <row r="1" spans="1:15" x14ac:dyDescent="0.3">
      <c r="A1" t="s">
        <v>163</v>
      </c>
      <c r="D1" t="s">
        <v>149</v>
      </c>
      <c r="G1" t="s">
        <v>164</v>
      </c>
      <c r="J1" t="s">
        <v>166</v>
      </c>
      <c r="M1" t="s">
        <v>169</v>
      </c>
    </row>
    <row r="2" spans="1:15" x14ac:dyDescent="0.3">
      <c r="A2" s="14" t="s">
        <v>22</v>
      </c>
      <c r="B2" s="14" t="s">
        <v>148</v>
      </c>
      <c r="D2" s="14" t="s">
        <v>23</v>
      </c>
      <c r="E2" s="14" t="s">
        <v>24</v>
      </c>
      <c r="G2" s="14" t="s">
        <v>150</v>
      </c>
      <c r="H2" s="14" t="s">
        <v>24</v>
      </c>
      <c r="J2" s="14" t="s">
        <v>165</v>
      </c>
      <c r="K2" s="14" t="s">
        <v>24</v>
      </c>
      <c r="M2" s="14" t="s">
        <v>150</v>
      </c>
      <c r="N2" s="14" t="s">
        <v>167</v>
      </c>
      <c r="O2" s="14" t="s">
        <v>168</v>
      </c>
    </row>
    <row r="3" spans="1:15" x14ac:dyDescent="0.3">
      <c r="A3" t="s">
        <v>132</v>
      </c>
      <c r="B3">
        <v>18450</v>
      </c>
      <c r="D3" t="s">
        <v>74</v>
      </c>
      <c r="E3">
        <v>12000</v>
      </c>
      <c r="G3" t="s">
        <v>151</v>
      </c>
      <c r="H3">
        <v>4200</v>
      </c>
      <c r="J3">
        <v>1000</v>
      </c>
      <c r="K3">
        <v>5200</v>
      </c>
      <c r="M3" t="s">
        <v>151</v>
      </c>
      <c r="N3">
        <v>12000</v>
      </c>
      <c r="O3">
        <v>2200</v>
      </c>
    </row>
    <row r="4" spans="1:15" x14ac:dyDescent="0.3">
      <c r="A4" t="s">
        <v>136</v>
      </c>
      <c r="B4">
        <v>14200</v>
      </c>
      <c r="D4" t="s">
        <v>77</v>
      </c>
      <c r="E4">
        <v>8200</v>
      </c>
      <c r="G4" t="s">
        <v>152</v>
      </c>
      <c r="H4">
        <v>5100</v>
      </c>
      <c r="J4">
        <v>1500</v>
      </c>
      <c r="K4">
        <v>6800</v>
      </c>
      <c r="M4" t="s">
        <v>152</v>
      </c>
      <c r="N4">
        <v>15000</v>
      </c>
      <c r="O4">
        <v>3100</v>
      </c>
    </row>
    <row r="5" spans="1:15" x14ac:dyDescent="0.3">
      <c r="A5" t="s">
        <v>138</v>
      </c>
      <c r="B5">
        <v>16900</v>
      </c>
      <c r="D5" t="s">
        <v>78</v>
      </c>
      <c r="E5">
        <v>5100</v>
      </c>
      <c r="G5" t="s">
        <v>153</v>
      </c>
      <c r="H5">
        <v>4800</v>
      </c>
      <c r="J5">
        <v>2000</v>
      </c>
      <c r="K5">
        <v>8100</v>
      </c>
      <c r="M5" t="s">
        <v>153</v>
      </c>
      <c r="N5">
        <v>17000</v>
      </c>
      <c r="O5">
        <v>3600</v>
      </c>
    </row>
    <row r="6" spans="1:15" x14ac:dyDescent="0.3">
      <c r="A6" t="s">
        <v>135</v>
      </c>
      <c r="B6">
        <v>12750</v>
      </c>
      <c r="D6" t="s">
        <v>76</v>
      </c>
      <c r="E6">
        <v>3400</v>
      </c>
      <c r="G6" t="s">
        <v>154</v>
      </c>
      <c r="H6">
        <v>6300</v>
      </c>
      <c r="J6">
        <v>2500</v>
      </c>
      <c r="K6">
        <v>9300</v>
      </c>
      <c r="M6" t="s">
        <v>154</v>
      </c>
      <c r="N6">
        <v>18000</v>
      </c>
      <c r="O6">
        <v>4100</v>
      </c>
    </row>
    <row r="7" spans="1:15" x14ac:dyDescent="0.3">
      <c r="D7" t="s">
        <v>75</v>
      </c>
      <c r="E7">
        <v>2600</v>
      </c>
      <c r="G7" t="s">
        <v>155</v>
      </c>
      <c r="H7">
        <v>7000</v>
      </c>
      <c r="J7">
        <v>3000</v>
      </c>
      <c r="K7">
        <v>11100</v>
      </c>
      <c r="M7" t="s">
        <v>155</v>
      </c>
      <c r="N7">
        <v>22000</v>
      </c>
      <c r="O7">
        <v>5200</v>
      </c>
    </row>
    <row r="8" spans="1:15" x14ac:dyDescent="0.3">
      <c r="G8" t="s">
        <v>156</v>
      </c>
      <c r="H8">
        <v>7600</v>
      </c>
      <c r="J8">
        <v>3500</v>
      </c>
      <c r="K8">
        <v>12300</v>
      </c>
      <c r="M8" t="s">
        <v>156</v>
      </c>
      <c r="N8">
        <v>25000</v>
      </c>
      <c r="O8">
        <v>6100</v>
      </c>
    </row>
    <row r="9" spans="1:15" x14ac:dyDescent="0.3">
      <c r="G9" t="s">
        <v>157</v>
      </c>
      <c r="H9">
        <v>8100</v>
      </c>
    </row>
    <row r="10" spans="1:15" x14ac:dyDescent="0.3">
      <c r="G10" t="s">
        <v>158</v>
      </c>
      <c r="H10">
        <v>8500</v>
      </c>
    </row>
    <row r="11" spans="1:15" x14ac:dyDescent="0.3">
      <c r="G11" t="s">
        <v>159</v>
      </c>
      <c r="H11">
        <v>7900</v>
      </c>
    </row>
    <row r="12" spans="1:15" x14ac:dyDescent="0.3">
      <c r="G12" t="s">
        <v>160</v>
      </c>
      <c r="H12">
        <v>8800</v>
      </c>
    </row>
    <row r="13" spans="1:15" x14ac:dyDescent="0.3">
      <c r="G13" t="s">
        <v>161</v>
      </c>
      <c r="H13">
        <v>9300</v>
      </c>
    </row>
    <row r="14" spans="1:15" x14ac:dyDescent="0.3">
      <c r="G14" t="s">
        <v>162</v>
      </c>
      <c r="H14">
        <v>10100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My Students</vt:lpstr>
      <vt:lpstr>Sheet8</vt:lpstr>
      <vt:lpstr>Sheet2</vt:lpstr>
      <vt:lpstr>Order details</vt:lpstr>
      <vt:lpstr>Data validation </vt:lpstr>
      <vt:lpstr>Customer details</vt:lpstr>
      <vt:lpstr>Sheet4</vt:lpstr>
      <vt:lpstr>Sheet5</vt:lpstr>
      <vt:lpstr>Sheet11</vt:lpstr>
      <vt:lpstr>Pivot Tables</vt:lpstr>
      <vt:lpstr>Charts</vt:lpstr>
      <vt:lpstr>Dashboard</vt:lpstr>
      <vt:lpstr>Sales Data</vt:lpstr>
      <vt:lpstr>Charts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srija velpula</dc:creator>
  <cp:lastModifiedBy>srija velpula</cp:lastModifiedBy>
  <dcterms:created xsi:type="dcterms:W3CDTF">2026-09-15T16:47:12Z</dcterms:created>
  <dcterms:modified xsi:type="dcterms:W3CDTF">2026-09-21T18:11:03Z</dcterms:modified>
</cp:coreProperties>
</file>