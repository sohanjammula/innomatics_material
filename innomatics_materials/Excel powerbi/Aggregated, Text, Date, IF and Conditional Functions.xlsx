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D6633F2-6018-4189-B453-D1C14126761D}" xr6:coauthVersionLast="47" xr6:coauthVersionMax="47" xr10:uidLastSave="{00000000-0000-0000-0000-000000000000}"/>
  <bookViews>
    <workbookView xWindow="-108" yWindow="-108" windowWidth="23256" windowHeight="12456" activeTab="3" xr2:uid="{76016F03-56C1-4A35-B136-E97FE84229B8}"/>
  </bookViews>
  <sheets>
    <sheet name="Aggregated functions" sheetId="5" r:id="rId1"/>
    <sheet name="Date Functions" sheetId="9" r:id="rId2"/>
    <sheet name="Logical Functions" sheetId="8" r:id="rId3"/>
    <sheet name="Conditional Functions" sheetId="10" r:id="rId4"/>
    <sheet name="Text Functions" sheetId="6" r:id="rId5"/>
    <sheet name="Text Functions 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22" i="10" l="1"/>
  <c r="C21" i="10"/>
  <c r="C20" i="10"/>
  <c r="C19" i="10"/>
  <c r="C18" i="10"/>
  <c r="C17" i="10"/>
  <c r="C16" i="10"/>
  <c r="C15" i="10"/>
  <c r="H14" i="10"/>
  <c r="C14" i="10"/>
  <c r="C13" i="10"/>
  <c r="C12" i="10"/>
  <c r="H11" i="10"/>
  <c r="C11" i="10"/>
  <c r="C10" i="10"/>
  <c r="C9" i="10"/>
  <c r="C8" i="10"/>
  <c r="C7" i="10"/>
  <c r="H6" i="10"/>
  <c r="C6" i="10"/>
  <c r="C5" i="10"/>
  <c r="C4" i="10"/>
  <c r="H3" i="10"/>
  <c r="C3" i="10"/>
  <c r="J13" i="9"/>
  <c r="E15" i="9"/>
  <c r="E16" i="9"/>
  <c r="E17" i="9"/>
  <c r="E18" i="9"/>
  <c r="E19" i="9"/>
  <c r="E14" i="9"/>
  <c r="D15" i="9"/>
  <c r="D16" i="9"/>
  <c r="D17" i="9"/>
  <c r="D18" i="9"/>
  <c r="D19" i="9"/>
  <c r="D14" i="9"/>
  <c r="J4" i="9"/>
  <c r="J5" i="9"/>
  <c r="J6" i="9"/>
  <c r="J7" i="9"/>
  <c r="J8" i="9"/>
  <c r="J3" i="9"/>
  <c r="I4" i="9"/>
  <c r="I5" i="9"/>
  <c r="I6" i="9"/>
  <c r="I7" i="9"/>
  <c r="I8" i="9"/>
  <c r="I3" i="9"/>
  <c r="H4" i="9"/>
  <c r="H5" i="9"/>
  <c r="H6" i="9"/>
  <c r="H7" i="9"/>
  <c r="H8" i="9"/>
  <c r="H3" i="9"/>
  <c r="D3" i="9"/>
  <c r="D4" i="9"/>
  <c r="D5" i="9"/>
  <c r="D6" i="9"/>
  <c r="D7" i="9"/>
  <c r="D8" i="9"/>
  <c r="C4" i="9"/>
  <c r="G4" i="9" s="1"/>
  <c r="C5" i="9"/>
  <c r="G5" i="9" s="1"/>
  <c r="C6" i="9"/>
  <c r="G6" i="9" s="1"/>
  <c r="C7" i="9"/>
  <c r="G7" i="9" s="1"/>
  <c r="C8" i="9"/>
  <c r="G8" i="9" s="1"/>
  <c r="C3" i="9"/>
  <c r="G3" i="9" s="1"/>
  <c r="L16" i="8" a="1"/>
  <c r="L16" i="8" s="1"/>
  <c r="L17" i="8" a="1"/>
  <c r="L17" i="8" s="1"/>
  <c r="L18" i="8" a="1"/>
  <c r="L18" i="8" s="1"/>
  <c r="L19" i="8" a="1"/>
  <c r="L19" i="8"/>
  <c r="L20" i="8" a="1"/>
  <c r="L20" i="8" s="1"/>
  <c r="L15" i="8" a="1"/>
  <c r="L15" i="8" s="1"/>
  <c r="E16" i="8"/>
  <c r="E17" i="8"/>
  <c r="E18" i="8"/>
  <c r="E19" i="8"/>
  <c r="E20" i="8"/>
  <c r="E15" i="8"/>
  <c r="I4" i="8"/>
  <c r="I5" i="8"/>
  <c r="I6" i="8"/>
  <c r="I3" i="8"/>
  <c r="E3" i="8"/>
  <c r="E4" i="8"/>
  <c r="E5" i="8"/>
  <c r="E6" i="8"/>
  <c r="E7" i="8"/>
  <c r="E8" i="8"/>
  <c r="L23" i="7"/>
  <c r="C23" i="7"/>
  <c r="J23" i="7" s="1"/>
  <c r="L22" i="7"/>
  <c r="C22" i="7"/>
  <c r="K22" i="7" s="1"/>
  <c r="L21" i="7"/>
  <c r="I21" i="7"/>
  <c r="H21" i="7"/>
  <c r="C21" i="7"/>
  <c r="K21" i="7" s="1"/>
  <c r="L20" i="7"/>
  <c r="C20" i="7"/>
  <c r="K20" i="7" s="1"/>
  <c r="L19" i="7"/>
  <c r="C19" i="7"/>
  <c r="K19" i="7" s="1"/>
  <c r="L18" i="7"/>
  <c r="C18" i="7"/>
  <c r="K18" i="7" s="1"/>
  <c r="L17" i="7"/>
  <c r="C17" i="7"/>
  <c r="K17" i="7" s="1"/>
  <c r="L16" i="7"/>
  <c r="C16" i="7"/>
  <c r="K16" i="7" s="1"/>
  <c r="L15" i="7"/>
  <c r="C15" i="7"/>
  <c r="I15" i="7" s="1"/>
  <c r="L14" i="7"/>
  <c r="C14" i="7"/>
  <c r="K14" i="7" s="1"/>
  <c r="L13" i="7"/>
  <c r="C13" i="7"/>
  <c r="K13" i="7" s="1"/>
  <c r="L12" i="7"/>
  <c r="C12" i="7"/>
  <c r="K12" i="7" s="1"/>
  <c r="L11" i="7"/>
  <c r="K11" i="7"/>
  <c r="J11" i="7"/>
  <c r="C11" i="7"/>
  <c r="I11" i="7" s="1"/>
  <c r="L10" i="7"/>
  <c r="C10" i="7"/>
  <c r="K10" i="7" s="1"/>
  <c r="L9" i="7"/>
  <c r="C9" i="7"/>
  <c r="K9" i="7" s="1"/>
  <c r="L8" i="7"/>
  <c r="C8" i="7"/>
  <c r="K8" i="7" s="1"/>
  <c r="L7" i="7"/>
  <c r="C7" i="7"/>
  <c r="I7" i="7" s="1"/>
  <c r="L6" i="7"/>
  <c r="K6" i="7"/>
  <c r="J6" i="7"/>
  <c r="I6" i="7"/>
  <c r="H6" i="7"/>
  <c r="C6" i="7"/>
  <c r="L5" i="7"/>
  <c r="C5" i="7"/>
  <c r="J5" i="7" s="1"/>
  <c r="L4" i="7"/>
  <c r="C4" i="7"/>
  <c r="K4" i="7" s="1"/>
  <c r="I6" i="6"/>
  <c r="I7" i="6"/>
  <c r="I8" i="6"/>
  <c r="I9" i="6"/>
  <c r="I10" i="6"/>
  <c r="I11" i="6"/>
  <c r="I12" i="6"/>
  <c r="I5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B5" i="6"/>
  <c r="B6" i="6"/>
  <c r="B7" i="6"/>
  <c r="B8" i="6"/>
  <c r="B9" i="6"/>
  <c r="B10" i="6"/>
  <c r="B11" i="6"/>
  <c r="B4" i="6"/>
  <c r="C5" i="6"/>
  <c r="C6" i="6"/>
  <c r="C7" i="6"/>
  <c r="C8" i="6"/>
  <c r="C9" i="6"/>
  <c r="C10" i="6"/>
  <c r="C11" i="6"/>
  <c r="C4" i="6"/>
  <c r="P23" i="5"/>
  <c r="P10" i="5"/>
  <c r="L23" i="5"/>
  <c r="H23" i="5"/>
  <c r="L10" i="5"/>
  <c r="H9" i="5"/>
  <c r="B18" i="5"/>
  <c r="B17" i="5"/>
  <c r="C16" i="5"/>
  <c r="B15" i="5"/>
  <c r="B14" i="5"/>
  <c r="B13" i="5"/>
  <c r="C10" i="5"/>
  <c r="H13" i="7" l="1"/>
  <c r="H16" i="7"/>
  <c r="H5" i="7"/>
  <c r="H22" i="7"/>
  <c r="H18" i="7"/>
  <c r="H14" i="7"/>
  <c r="H17" i="7"/>
  <c r="K7" i="7"/>
  <c r="H10" i="7"/>
  <c r="I14" i="7"/>
  <c r="I18" i="7"/>
  <c r="H20" i="7"/>
  <c r="I22" i="7"/>
  <c r="J14" i="7"/>
  <c r="J18" i="7"/>
  <c r="J22" i="7"/>
  <c r="I10" i="7"/>
  <c r="J10" i="7"/>
  <c r="J7" i="7"/>
  <c r="H9" i="7"/>
  <c r="J15" i="7"/>
  <c r="J19" i="7"/>
  <c r="K23" i="7"/>
  <c r="K15" i="7"/>
  <c r="I9" i="7"/>
  <c r="I13" i="7"/>
  <c r="I17" i="7"/>
  <c r="J21" i="7"/>
  <c r="H4" i="7"/>
  <c r="J17" i="7"/>
  <c r="I20" i="7"/>
  <c r="H8" i="7"/>
  <c r="J9" i="7"/>
  <c r="H12" i="7"/>
  <c r="J13" i="7"/>
  <c r="K5" i="7"/>
  <c r="I8" i="7"/>
  <c r="I12" i="7"/>
  <c r="I16" i="7"/>
  <c r="H7" i="7"/>
  <c r="H11" i="7"/>
  <c r="J12" i="7"/>
  <c r="H15" i="7"/>
  <c r="J16" i="7"/>
  <c r="H19" i="7"/>
  <c r="J20" i="7"/>
  <c r="H23" i="7"/>
  <c r="I5" i="7"/>
  <c r="I4" i="7"/>
  <c r="J4" i="7"/>
  <c r="J8" i="7"/>
  <c r="I19" i="7"/>
  <c r="I2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<sst xmlns="http://schemas.openxmlformats.org/spreadsheetml/2006/main" count="432" uniqueCount="153">
  <si>
    <t>Employee ID</t>
  </si>
  <si>
    <t>Employee Name</t>
  </si>
  <si>
    <t>Date</t>
  </si>
  <si>
    <t>Sales</t>
  </si>
  <si>
    <t>Name</t>
  </si>
  <si>
    <t>Department</t>
  </si>
  <si>
    <t>Salary</t>
  </si>
  <si>
    <t>Bhavana Koneti</t>
  </si>
  <si>
    <t>Nagaraju Karrola</t>
  </si>
  <si>
    <t>Sarayu velevala</t>
  </si>
  <si>
    <t>Tejaswai Kota</t>
  </si>
  <si>
    <t>Charitha atluri</t>
  </si>
  <si>
    <t>Shiva Prathap</t>
  </si>
  <si>
    <t>IT</t>
  </si>
  <si>
    <t>A</t>
  </si>
  <si>
    <t>HR</t>
  </si>
  <si>
    <t>Finanace</t>
  </si>
  <si>
    <t>Employee Table</t>
  </si>
  <si>
    <t xml:space="preserve">Calacualte Total Salary </t>
  </si>
  <si>
    <t xml:space="preserve">Total Salary </t>
  </si>
  <si>
    <t xml:space="preserve">Addition </t>
  </si>
  <si>
    <t>Subtract</t>
  </si>
  <si>
    <t>Multiplecation</t>
  </si>
  <si>
    <t>Division</t>
  </si>
  <si>
    <t>Parantheses</t>
  </si>
  <si>
    <t>SUM Function :</t>
  </si>
  <si>
    <t>AutoSUM</t>
  </si>
  <si>
    <t xml:space="preserve">Average Salary </t>
  </si>
  <si>
    <t>Max Salary</t>
  </si>
  <si>
    <t>Lowest Salary</t>
  </si>
  <si>
    <t>How Many Salaries</t>
  </si>
  <si>
    <t>How Many Employees</t>
  </si>
  <si>
    <t>EMP 1001</t>
  </si>
  <si>
    <t>EMP 1002</t>
  </si>
  <si>
    <t>EMP 1003</t>
  </si>
  <si>
    <t>EMP 1004</t>
  </si>
  <si>
    <t>EMP 1005</t>
  </si>
  <si>
    <t>EMP 1006</t>
  </si>
  <si>
    <t>EMP 1007</t>
  </si>
  <si>
    <t>EMP 1008</t>
  </si>
  <si>
    <t>ID</t>
  </si>
  <si>
    <t>EMP-HR- 1002</t>
  </si>
  <si>
    <t>EMP-HR- 1003</t>
  </si>
  <si>
    <t>EMP-FI- 1005</t>
  </si>
  <si>
    <t>EMP-FI- 1007</t>
  </si>
  <si>
    <t>EMP-IT- 1008</t>
  </si>
  <si>
    <t>EMP-IT-1001</t>
  </si>
  <si>
    <t>EMP-IT-1004</t>
  </si>
  <si>
    <t>EMP-HR-1006</t>
  </si>
  <si>
    <t>LEFT</t>
  </si>
  <si>
    <t>RIGHT</t>
  </si>
  <si>
    <t>MID</t>
  </si>
  <si>
    <t>First Name</t>
  </si>
  <si>
    <t>Last Name</t>
  </si>
  <si>
    <t>Region</t>
  </si>
  <si>
    <t>Product</t>
  </si>
  <si>
    <t>UPPER</t>
  </si>
  <si>
    <t>LOWER</t>
  </si>
  <si>
    <t>PROPER</t>
  </si>
  <si>
    <t>Full Name</t>
  </si>
  <si>
    <t>Region Sales</t>
  </si>
  <si>
    <t xml:space="preserve">   AKSHAY SUNKARI</t>
  </si>
  <si>
    <t>SUNKARI</t>
  </si>
  <si>
    <t>USA</t>
  </si>
  <si>
    <t xml:space="preserve">Anvesh Hirve  </t>
  </si>
  <si>
    <t xml:space="preserve">Hirve  </t>
  </si>
  <si>
    <t>Australia</t>
  </si>
  <si>
    <t>B</t>
  </si>
  <si>
    <t xml:space="preserve">  ATLURI CHARITHA SRI</t>
  </si>
  <si>
    <t>CHARITHA SRI</t>
  </si>
  <si>
    <t>UK</t>
  </si>
  <si>
    <t xml:space="preserve">   B Ramakrishna</t>
  </si>
  <si>
    <t>Ramakrishna</t>
  </si>
  <si>
    <t xml:space="preserve">Bhavana Koneti  </t>
  </si>
  <si>
    <t xml:space="preserve">Koneti  </t>
  </si>
  <si>
    <t xml:space="preserve">	Brijesh Mali   </t>
  </si>
  <si>
    <t xml:space="preserve">Mali   </t>
  </si>
  <si>
    <t>Canada</t>
  </si>
  <si>
    <t>Chandana Peddapelly</t>
  </si>
  <si>
    <t>Peddapelly</t>
  </si>
  <si>
    <t>C</t>
  </si>
  <si>
    <t>Dinesh Kumar Bolla</t>
  </si>
  <si>
    <t>Bolla</t>
  </si>
  <si>
    <t>J Sujay</t>
  </si>
  <si>
    <t>Sujay</t>
  </si>
  <si>
    <t>Karrola Nagaraju</t>
  </si>
  <si>
    <t>Nagaraju</t>
  </si>
  <si>
    <t>Lalam Satyanarayana</t>
  </si>
  <si>
    <t>Satyanarayana</t>
  </si>
  <si>
    <t xml:space="preserve">   Naveen Shivakoti</t>
  </si>
  <si>
    <t>Shivakoti</t>
  </si>
  <si>
    <t xml:space="preserve">   rudra premkumar</t>
  </si>
  <si>
    <t>premkumar</t>
  </si>
  <si>
    <t>Samiksha Moharana</t>
  </si>
  <si>
    <t>Moharana</t>
  </si>
  <si>
    <t>Germany</t>
  </si>
  <si>
    <t>Shivaprathap Singiri</t>
  </si>
  <si>
    <t>Singiri</t>
  </si>
  <si>
    <t>Shriya Mechineni</t>
  </si>
  <si>
    <t>Mechineni</t>
  </si>
  <si>
    <t>Siri Mandadapu</t>
  </si>
  <si>
    <t>Mandadapu</t>
  </si>
  <si>
    <t>SLVSNTejaswi-kota</t>
  </si>
  <si>
    <t>ejaswi-kota</t>
  </si>
  <si>
    <t>suma sri priya</t>
  </si>
  <si>
    <t>sri priya</t>
  </si>
  <si>
    <t>Thejaswini Padurthi</t>
  </si>
  <si>
    <t>Padurthi</t>
  </si>
  <si>
    <t>Customer Transactions</t>
  </si>
  <si>
    <t>TRIM</t>
  </si>
  <si>
    <t>CONCAT</t>
  </si>
  <si>
    <t>Preformance Score</t>
  </si>
  <si>
    <t>Bonus Status</t>
  </si>
  <si>
    <t>Item</t>
  </si>
  <si>
    <t>Mango</t>
  </si>
  <si>
    <t>Banana</t>
  </si>
  <si>
    <t>Potato</t>
  </si>
  <si>
    <t>Onion</t>
  </si>
  <si>
    <t>Category</t>
  </si>
  <si>
    <t>IF with AND</t>
  </si>
  <si>
    <t>IF with OR</t>
  </si>
  <si>
    <t>Nested IF</t>
  </si>
  <si>
    <t>Grade</t>
  </si>
  <si>
    <t>IFS</t>
  </si>
  <si>
    <t>HireDate</t>
  </si>
  <si>
    <t xml:space="preserve">Day worked </t>
  </si>
  <si>
    <t>Today</t>
  </si>
  <si>
    <t>Curretn Date and Time</t>
  </si>
  <si>
    <t>Month</t>
  </si>
  <si>
    <t>Year</t>
  </si>
  <si>
    <t>Day</t>
  </si>
  <si>
    <t>MONTH</t>
  </si>
  <si>
    <t>DAYS</t>
  </si>
  <si>
    <t>YEAR</t>
  </si>
  <si>
    <t>DAY</t>
  </si>
  <si>
    <t>TODAY</t>
  </si>
  <si>
    <t>NOW</t>
  </si>
  <si>
    <t>Contract Date</t>
  </si>
  <si>
    <t>Contract Duration</t>
  </si>
  <si>
    <t>Renewal Date</t>
  </si>
  <si>
    <t>EDATE</t>
  </si>
  <si>
    <t>EOMONTH</t>
  </si>
  <si>
    <t>Resignation Date</t>
  </si>
  <si>
    <t>First</t>
  </si>
  <si>
    <t xml:space="preserve">How Many Sales Made in USA </t>
  </si>
  <si>
    <t>How Many Sales for Product  A in USA</t>
  </si>
  <si>
    <t>What is the total sales in USA</t>
  </si>
  <si>
    <t>SUMIF</t>
  </si>
  <si>
    <t>What is the total sales for Product A in USA</t>
  </si>
  <si>
    <t>SUMIFS</t>
  </si>
  <si>
    <t>Average sales for USA</t>
  </si>
  <si>
    <t>Average sales for Product B in USA</t>
  </si>
  <si>
    <t>COUNTIF &amp; COUNT IFS, SUMIF&amp;SUMIFS, AvegareIF &amp; 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</si>
</sst>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[$-409]m/d/yy\ h:mm\ AM/PM;@"/>
    <numFmt numFmtId="166" formatCode="m/d/yy\ h:mm;@"/>
    <numFmt numFmtId="167" formatCode="[$-409]d\-mmm\-yy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rgb="FF454545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7CAB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2" fontId="0" fillId="4" borderId="0" xfId="0" applyNumberFormat="1" applyFill="1"/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164" fontId="0" fillId="0" borderId="0" xfId="0" applyNumberFormat="1" applyAlignment="1">
      <alignment horizontal="left"/>
    </xf>
    <xf numFmtId="0" fontId="4" fillId="0" borderId="0" xfId="0" applyFont="1"/>
    <xf numFmtId="164" fontId="0" fillId="0" borderId="1" xfId="0" applyNumberFormat="1" applyBorder="1" applyAlignment="1">
      <alignment horizontal="left"/>
    </xf>
    <xf numFmtId="0" fontId="0" fillId="0" borderId="1" xfId="0" applyBorder="1"/>
    <xf numFmtId="0" fontId="1" fillId="6" borderId="0" xfId="0" applyFont="1" applyFill="1"/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3" fillId="2" borderId="0" xfId="0" applyNumberFormat="1" applyFont="1" applyFill="1" applyAlignment="1">
      <alignment horizontal="left"/>
    </xf>
    <xf numFmtId="166" fontId="0" fillId="0" borderId="0" xfId="0" applyNumberFormat="1"/>
    <xf numFmtId="167" fontId="0" fillId="0" borderId="0" xfId="0" applyNumberFormat="1" applyAlignment="1">
      <alignment horizontal="left"/>
    </xf>
    <xf numFmtId="14" fontId="0" fillId="0" borderId="0" xfId="0" applyNumberForma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CA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61D5-3F14-46F1-BE1E-B9B0DFB383AD}">
  <dimension ref="A1:P23"/>
  <sheetViews>
    <sheetView workbookViewId="0">
      <selection activeCell="F14" sqref="F14:H21"/>
    </sheetView>
  </sheetViews>
  <sheetFormatPr defaultRowHeight="14.4" x14ac:dyDescent="0.3"/>
  <cols>
    <col min="1" max="1" width="15.77734375" style="8" customWidth="1"/>
    <col min="2" max="2" width="12.88671875" style="1" customWidth="1"/>
    <col min="3" max="3" width="7.77734375" style="1" customWidth="1"/>
    <col min="6" max="6" width="17.6640625" customWidth="1"/>
    <col min="7" max="7" width="16.6640625" customWidth="1"/>
    <col min="8" max="8" width="11" customWidth="1"/>
    <col min="10" max="10" width="18.109375" customWidth="1"/>
    <col min="11" max="11" width="18.21875" customWidth="1"/>
    <col min="12" max="12" width="12.44140625" customWidth="1"/>
    <col min="14" max="14" width="18.77734375" customWidth="1"/>
    <col min="15" max="15" width="16.77734375" customWidth="1"/>
    <col min="16" max="16" width="11.5546875" customWidth="1"/>
  </cols>
  <sheetData>
    <row r="1" spans="1:16" x14ac:dyDescent="0.3">
      <c r="A1" s="27" t="s">
        <v>17</v>
      </c>
      <c r="B1" s="27"/>
      <c r="C1" s="27"/>
      <c r="F1" s="27" t="s">
        <v>17</v>
      </c>
      <c r="G1" s="27"/>
      <c r="H1" s="27"/>
      <c r="J1" s="27" t="s">
        <v>17</v>
      </c>
      <c r="K1" s="27"/>
      <c r="L1" s="27"/>
      <c r="N1" s="27" t="s">
        <v>17</v>
      </c>
      <c r="O1" s="27"/>
      <c r="P1" s="27"/>
    </row>
    <row r="2" spans="1:16" ht="15.6" x14ac:dyDescent="0.3">
      <c r="A2" s="7" t="s">
        <v>1</v>
      </c>
      <c r="B2" s="6" t="s">
        <v>5</v>
      </c>
      <c r="C2" s="6" t="s">
        <v>6</v>
      </c>
      <c r="F2" s="7" t="s">
        <v>1</v>
      </c>
      <c r="G2" s="6" t="s">
        <v>5</v>
      </c>
      <c r="H2" s="6" t="s">
        <v>6</v>
      </c>
      <c r="J2" s="7" t="s">
        <v>1</v>
      </c>
      <c r="K2" s="6" t="s">
        <v>5</v>
      </c>
      <c r="L2" s="6" t="s">
        <v>6</v>
      </c>
      <c r="N2" s="7" t="s">
        <v>1</v>
      </c>
      <c r="O2" s="6" t="s">
        <v>5</v>
      </c>
      <c r="P2" s="6" t="s">
        <v>6</v>
      </c>
    </row>
    <row r="3" spans="1:16" x14ac:dyDescent="0.3">
      <c r="A3" s="8" t="s">
        <v>7</v>
      </c>
      <c r="B3" s="1" t="s">
        <v>13</v>
      </c>
      <c r="C3" s="1">
        <v>65000</v>
      </c>
      <c r="F3" s="8" t="s">
        <v>7</v>
      </c>
      <c r="G3" s="1" t="s">
        <v>13</v>
      </c>
      <c r="H3" s="1">
        <v>65000</v>
      </c>
      <c r="J3" s="8" t="s">
        <v>7</v>
      </c>
      <c r="K3" s="1" t="s">
        <v>13</v>
      </c>
      <c r="L3" s="1">
        <v>65000</v>
      </c>
      <c r="N3" s="8" t="s">
        <v>7</v>
      </c>
      <c r="O3" s="1" t="s">
        <v>13</v>
      </c>
      <c r="P3" s="1">
        <v>65000</v>
      </c>
    </row>
    <row r="4" spans="1:16" x14ac:dyDescent="0.3">
      <c r="A4" s="8" t="s">
        <v>8</v>
      </c>
      <c r="B4" s="1" t="s">
        <v>15</v>
      </c>
      <c r="C4" s="1">
        <v>45000</v>
      </c>
      <c r="F4" s="8" t="s">
        <v>8</v>
      </c>
      <c r="G4" s="1" t="s">
        <v>15</v>
      </c>
      <c r="H4" s="1">
        <v>45000</v>
      </c>
      <c r="J4" s="8" t="s">
        <v>8</v>
      </c>
      <c r="K4" s="1" t="s">
        <v>15</v>
      </c>
      <c r="L4" s="1">
        <v>45000</v>
      </c>
      <c r="N4" s="8" t="s">
        <v>8</v>
      </c>
      <c r="O4" s="1" t="s">
        <v>15</v>
      </c>
      <c r="P4" s="1">
        <v>45000</v>
      </c>
    </row>
    <row r="5" spans="1:16" x14ac:dyDescent="0.3">
      <c r="A5" s="8" t="s">
        <v>9</v>
      </c>
      <c r="B5" s="1" t="s">
        <v>15</v>
      </c>
      <c r="C5" s="1">
        <v>75000</v>
      </c>
      <c r="F5" s="8" t="s">
        <v>9</v>
      </c>
      <c r="G5" s="1" t="s">
        <v>15</v>
      </c>
      <c r="H5" s="1">
        <v>75000</v>
      </c>
      <c r="J5" s="8" t="s">
        <v>9</v>
      </c>
      <c r="K5" s="1" t="s">
        <v>15</v>
      </c>
      <c r="L5" s="1">
        <v>75000</v>
      </c>
      <c r="N5" s="8" t="s">
        <v>9</v>
      </c>
      <c r="O5" s="1" t="s">
        <v>15</v>
      </c>
      <c r="P5" s="1">
        <v>75000</v>
      </c>
    </row>
    <row r="6" spans="1:16" x14ac:dyDescent="0.3">
      <c r="A6" s="8" t="s">
        <v>10</v>
      </c>
      <c r="B6" s="1" t="s">
        <v>13</v>
      </c>
      <c r="C6" s="1">
        <v>52000</v>
      </c>
      <c r="F6" s="8" t="s">
        <v>10</v>
      </c>
      <c r="G6" s="1" t="s">
        <v>13</v>
      </c>
      <c r="H6" s="1">
        <v>52000</v>
      </c>
      <c r="J6" s="8" t="s">
        <v>10</v>
      </c>
      <c r="K6" s="1" t="s">
        <v>13</v>
      </c>
      <c r="L6" s="1">
        <v>52000</v>
      </c>
      <c r="N6" s="8" t="s">
        <v>10</v>
      </c>
      <c r="O6" s="1" t="s">
        <v>13</v>
      </c>
      <c r="P6" s="1">
        <v>52000</v>
      </c>
    </row>
    <row r="7" spans="1:16" x14ac:dyDescent="0.3">
      <c r="A7" s="8" t="s">
        <v>11</v>
      </c>
      <c r="B7" s="1" t="s">
        <v>16</v>
      </c>
      <c r="C7" s="1">
        <v>40000</v>
      </c>
      <c r="F7" s="8" t="s">
        <v>11</v>
      </c>
      <c r="G7" s="1" t="s">
        <v>16</v>
      </c>
      <c r="H7" s="1">
        <v>40000</v>
      </c>
      <c r="J7" s="8" t="s">
        <v>11</v>
      </c>
      <c r="K7" s="1" t="s">
        <v>16</v>
      </c>
      <c r="L7" s="1">
        <v>40000</v>
      </c>
      <c r="N7" s="8" t="s">
        <v>11</v>
      </c>
      <c r="O7" s="1" t="s">
        <v>16</v>
      </c>
      <c r="P7" s="1">
        <v>40000</v>
      </c>
    </row>
    <row r="8" spans="1:16" x14ac:dyDescent="0.3">
      <c r="A8" s="8" t="s">
        <v>12</v>
      </c>
      <c r="B8" s="1" t="s">
        <v>13</v>
      </c>
      <c r="C8" s="1">
        <v>60000</v>
      </c>
      <c r="F8" s="8" t="s">
        <v>12</v>
      </c>
      <c r="G8" s="1" t="s">
        <v>13</v>
      </c>
      <c r="H8" s="1">
        <v>60000</v>
      </c>
      <c r="J8" s="8" t="s">
        <v>12</v>
      </c>
      <c r="K8" s="1" t="s">
        <v>13</v>
      </c>
      <c r="L8" s="1">
        <v>60000</v>
      </c>
      <c r="N8" s="8" t="s">
        <v>12</v>
      </c>
      <c r="O8" s="1" t="s">
        <v>13</v>
      </c>
      <c r="P8" s="1">
        <v>60000</v>
      </c>
    </row>
    <row r="9" spans="1:16" x14ac:dyDescent="0.3">
      <c r="G9" s="5" t="s">
        <v>26</v>
      </c>
      <c r="H9" s="10">
        <f>SUM(H3:H8)</f>
        <v>337000</v>
      </c>
    </row>
    <row r="10" spans="1:16" x14ac:dyDescent="0.3">
      <c r="A10" s="8" t="s">
        <v>25</v>
      </c>
      <c r="B10" s="1" t="s">
        <v>19</v>
      </c>
      <c r="C10" s="1">
        <f>SUM(C3:C8)</f>
        <v>337000</v>
      </c>
      <c r="K10" s="11" t="s">
        <v>27</v>
      </c>
      <c r="L10" s="12">
        <f>AVERAGE(L3:L8)</f>
        <v>56166.666666666664</v>
      </c>
      <c r="O10" s="14" t="s">
        <v>30</v>
      </c>
      <c r="P10" s="15">
        <f>COUNT(P3:P8)</f>
        <v>6</v>
      </c>
    </row>
    <row r="11" spans="1:16" x14ac:dyDescent="0.3">
      <c r="A11" s="8" t="s">
        <v>18</v>
      </c>
    </row>
    <row r="13" spans="1:16" x14ac:dyDescent="0.3">
      <c r="A13" s="8" t="s">
        <v>20</v>
      </c>
      <c r="B13" s="1">
        <f>50+60</f>
        <v>110</v>
      </c>
    </row>
    <row r="14" spans="1:16" x14ac:dyDescent="0.3">
      <c r="A14" s="8" t="s">
        <v>21</v>
      </c>
      <c r="B14" s="1">
        <f>70-50</f>
        <v>20</v>
      </c>
      <c r="F14" s="27" t="s">
        <v>17</v>
      </c>
      <c r="G14" s="27"/>
      <c r="H14" s="27"/>
      <c r="J14" s="27" t="s">
        <v>17</v>
      </c>
      <c r="K14" s="27"/>
      <c r="L14" s="27"/>
      <c r="N14" s="27" t="s">
        <v>17</v>
      </c>
      <c r="O14" s="27"/>
      <c r="P14" s="27"/>
    </row>
    <row r="15" spans="1:16" ht="15.6" x14ac:dyDescent="0.3">
      <c r="A15" s="8" t="s">
        <v>22</v>
      </c>
      <c r="B15" s="1">
        <f>5*5</f>
        <v>25</v>
      </c>
      <c r="F15" s="7" t="s">
        <v>1</v>
      </c>
      <c r="G15" s="6" t="s">
        <v>5</v>
      </c>
      <c r="H15" s="6" t="s">
        <v>6</v>
      </c>
      <c r="J15" s="7" t="s">
        <v>1</v>
      </c>
      <c r="K15" s="6" t="s">
        <v>5</v>
      </c>
      <c r="L15" s="6" t="s">
        <v>6</v>
      </c>
      <c r="N15" s="7" t="s">
        <v>1</v>
      </c>
      <c r="O15" s="6" t="s">
        <v>5</v>
      </c>
      <c r="P15" s="6" t="s">
        <v>6</v>
      </c>
    </row>
    <row r="16" spans="1:16" x14ac:dyDescent="0.3">
      <c r="A16" s="8" t="s">
        <v>23</v>
      </c>
      <c r="B16" s="9"/>
      <c r="C16" s="1">
        <f>4/2</f>
        <v>2</v>
      </c>
      <c r="F16" s="8" t="s">
        <v>7</v>
      </c>
      <c r="G16" s="1" t="s">
        <v>13</v>
      </c>
      <c r="H16" s="1">
        <v>65000</v>
      </c>
      <c r="J16" s="8" t="s">
        <v>7</v>
      </c>
      <c r="K16" s="1" t="s">
        <v>13</v>
      </c>
      <c r="L16" s="1">
        <v>65000</v>
      </c>
      <c r="N16" s="8" t="s">
        <v>7</v>
      </c>
      <c r="O16" s="1" t="s">
        <v>13</v>
      </c>
      <c r="P16" s="1">
        <v>65000</v>
      </c>
    </row>
    <row r="17" spans="1:16" x14ac:dyDescent="0.3">
      <c r="A17" s="8" t="s">
        <v>24</v>
      </c>
      <c r="B17" s="1">
        <f>5+10*2</f>
        <v>25</v>
      </c>
      <c r="F17" s="8" t="s">
        <v>8</v>
      </c>
      <c r="G17" s="1" t="s">
        <v>15</v>
      </c>
      <c r="H17" s="1">
        <v>45000</v>
      </c>
      <c r="J17" s="8" t="s">
        <v>8</v>
      </c>
      <c r="K17" s="1" t="s">
        <v>15</v>
      </c>
      <c r="L17" s="1">
        <v>45000</v>
      </c>
      <c r="N17" s="8" t="s">
        <v>8</v>
      </c>
      <c r="O17" s="1" t="s">
        <v>15</v>
      </c>
      <c r="P17" s="1">
        <v>45000</v>
      </c>
    </row>
    <row r="18" spans="1:16" x14ac:dyDescent="0.3">
      <c r="B18" s="1">
        <f>(5+10)*2</f>
        <v>30</v>
      </c>
      <c r="F18" s="8" t="s">
        <v>9</v>
      </c>
      <c r="G18" s="1" t="s">
        <v>15</v>
      </c>
      <c r="H18" s="1">
        <v>75000</v>
      </c>
      <c r="J18" s="8" t="s">
        <v>9</v>
      </c>
      <c r="K18" s="1" t="s">
        <v>15</v>
      </c>
      <c r="L18" s="1">
        <v>75000</v>
      </c>
      <c r="N18" s="8" t="s">
        <v>9</v>
      </c>
      <c r="O18" s="1" t="s">
        <v>15</v>
      </c>
      <c r="P18" s="1">
        <v>75000</v>
      </c>
    </row>
    <row r="19" spans="1:16" x14ac:dyDescent="0.3">
      <c r="F19" s="8" t="s">
        <v>10</v>
      </c>
      <c r="G19" s="1" t="s">
        <v>13</v>
      </c>
      <c r="H19" s="1">
        <v>52000</v>
      </c>
      <c r="J19" s="8" t="s">
        <v>10</v>
      </c>
      <c r="K19" s="1" t="s">
        <v>13</v>
      </c>
      <c r="L19" s="1">
        <v>52000</v>
      </c>
      <c r="N19" s="8" t="s">
        <v>10</v>
      </c>
      <c r="O19" s="1" t="s">
        <v>13</v>
      </c>
      <c r="P19" s="1">
        <v>52000</v>
      </c>
    </row>
    <row r="20" spans="1:16" x14ac:dyDescent="0.3">
      <c r="F20" s="8" t="s">
        <v>11</v>
      </c>
      <c r="G20" s="1" t="s">
        <v>16</v>
      </c>
      <c r="H20" s="1">
        <v>40000</v>
      </c>
      <c r="J20" s="8" t="s">
        <v>11</v>
      </c>
      <c r="K20" s="1" t="s">
        <v>16</v>
      </c>
      <c r="L20" s="1">
        <v>40000</v>
      </c>
      <c r="N20" s="8" t="s">
        <v>11</v>
      </c>
      <c r="O20" s="1" t="s">
        <v>16</v>
      </c>
      <c r="P20" s="1">
        <v>40000</v>
      </c>
    </row>
    <row r="21" spans="1:16" x14ac:dyDescent="0.3">
      <c r="F21" s="8" t="s">
        <v>12</v>
      </c>
      <c r="G21" s="1" t="s">
        <v>13</v>
      </c>
      <c r="H21" s="1">
        <v>60000</v>
      </c>
      <c r="J21" s="8" t="s">
        <v>12</v>
      </c>
      <c r="K21" s="1" t="s">
        <v>13</v>
      </c>
      <c r="L21" s="1">
        <v>60000</v>
      </c>
      <c r="N21" s="8" t="s">
        <v>12</v>
      </c>
      <c r="O21" s="1" t="s">
        <v>13</v>
      </c>
      <c r="P21" s="1">
        <v>60000</v>
      </c>
    </row>
    <row r="23" spans="1:16" x14ac:dyDescent="0.3">
      <c r="G23" s="11" t="s">
        <v>28</v>
      </c>
      <c r="H23" s="13">
        <f>MAX(H16:H21)</f>
        <v>75000</v>
      </c>
      <c r="K23" s="14" t="s">
        <v>29</v>
      </c>
      <c r="L23" s="15">
        <f>MIN(L16:L21)</f>
        <v>40000</v>
      </c>
      <c r="O23" s="1" t="s">
        <v>31</v>
      </c>
      <c r="P23">
        <f>COUNTA(N16:N21)</f>
        <v>6</v>
      </c>
    </row>
  </sheetData>
  <mergeCells count="7">
    <mergeCell ref="N1:P1"/>
    <mergeCell ref="N14:P14"/>
    <mergeCell ref="A1:C1"/>
    <mergeCell ref="F1:H1"/>
    <mergeCell ref="J1:L1"/>
    <mergeCell ref="F14:H14"/>
    <mergeCell ref="J14:L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B0E0-1061-4100-9843-65E71D784119}">
  <dimension ref="A1:J19"/>
  <sheetViews>
    <sheetView workbookViewId="0">
      <selection activeCell="E12" sqref="E12"/>
    </sheetView>
  </sheetViews>
  <sheetFormatPr defaultRowHeight="14.4" x14ac:dyDescent="0.3"/>
  <cols>
    <col min="1" max="3" width="24.77734375" customWidth="1"/>
    <col min="4" max="4" width="24.77734375" style="24" customWidth="1"/>
    <col min="5" max="5" width="15.77734375" customWidth="1"/>
    <col min="6" max="6" width="13.44140625" customWidth="1"/>
    <col min="7" max="7" width="12.44140625" customWidth="1"/>
    <col min="9" max="9" width="10.33203125" bestFit="1" customWidth="1"/>
  </cols>
  <sheetData>
    <row r="1" spans="1:10" x14ac:dyDescent="0.3">
      <c r="A1" s="10"/>
      <c r="B1" s="10"/>
      <c r="C1" s="10" t="s">
        <v>135</v>
      </c>
      <c r="D1" s="10" t="s">
        <v>136</v>
      </c>
      <c r="E1" s="10"/>
      <c r="F1" s="10"/>
      <c r="G1" s="13" t="s">
        <v>132</v>
      </c>
      <c r="H1" s="13" t="s">
        <v>131</v>
      </c>
      <c r="I1" s="13" t="s">
        <v>133</v>
      </c>
      <c r="J1" s="13" t="s">
        <v>134</v>
      </c>
    </row>
    <row r="2" spans="1:10" ht="15.6" x14ac:dyDescent="0.3">
      <c r="A2" s="7" t="s">
        <v>1</v>
      </c>
      <c r="B2" s="7" t="s">
        <v>124</v>
      </c>
      <c r="C2" s="7" t="s">
        <v>126</v>
      </c>
      <c r="D2" s="23" t="s">
        <v>127</v>
      </c>
      <c r="E2" s="6" t="s">
        <v>5</v>
      </c>
      <c r="F2" s="6" t="s">
        <v>6</v>
      </c>
      <c r="G2" t="s">
        <v>125</v>
      </c>
      <c r="H2" t="s">
        <v>128</v>
      </c>
      <c r="I2" t="s">
        <v>129</v>
      </c>
      <c r="J2" t="s">
        <v>130</v>
      </c>
    </row>
    <row r="3" spans="1:10" x14ac:dyDescent="0.3">
      <c r="A3" s="8" t="s">
        <v>7</v>
      </c>
      <c r="B3" s="21">
        <v>45182</v>
      </c>
      <c r="C3" s="21">
        <f ca="1">TODAY()</f>
        <v>46282</v>
      </c>
      <c r="D3" s="25">
        <f t="shared" ref="D3:D8" ca="1" si="0">NOW()</f>
        <v>46282.393772569441</v>
      </c>
      <c r="E3" s="1" t="s">
        <v>13</v>
      </c>
      <c r="F3" s="1">
        <v>65000</v>
      </c>
      <c r="G3">
        <f ca="1">C3-B3</f>
        <v>1100</v>
      </c>
      <c r="H3">
        <f>MONTH(B3)</f>
        <v>9</v>
      </c>
      <c r="I3">
        <f>YEAR(B3)</f>
        <v>2023</v>
      </c>
      <c r="J3">
        <f>DAY(B3)</f>
        <v>13</v>
      </c>
    </row>
    <row r="4" spans="1:10" x14ac:dyDescent="0.3">
      <c r="A4" s="8" t="s">
        <v>8</v>
      </c>
      <c r="B4" s="21">
        <v>45420</v>
      </c>
      <c r="C4" s="21">
        <f t="shared" ref="C4:C8" ca="1" si="1">TODAY()</f>
        <v>46282</v>
      </c>
      <c r="D4" s="25">
        <f t="shared" ca="1" si="0"/>
        <v>46282.393772569441</v>
      </c>
      <c r="E4" s="1" t="s">
        <v>15</v>
      </c>
      <c r="F4" s="1">
        <v>45000</v>
      </c>
      <c r="G4">
        <f t="shared" ref="G4:G8" ca="1" si="2">C4-B4</f>
        <v>862</v>
      </c>
      <c r="H4">
        <f t="shared" ref="H4:H8" si="3">MONTH(B4)</f>
        <v>5</v>
      </c>
      <c r="I4">
        <f t="shared" ref="I4:I8" si="4">YEAR(B4)</f>
        <v>2024</v>
      </c>
      <c r="J4">
        <f t="shared" ref="J4:J8" si="5">DAY(B4)</f>
        <v>8</v>
      </c>
    </row>
    <row r="5" spans="1:10" x14ac:dyDescent="0.3">
      <c r="A5" s="8" t="s">
        <v>9</v>
      </c>
      <c r="B5" s="21">
        <v>45025</v>
      </c>
      <c r="C5" s="21">
        <f t="shared" ca="1" si="1"/>
        <v>46282</v>
      </c>
      <c r="D5" s="25">
        <f t="shared" ca="1" si="0"/>
        <v>46282.393772569441</v>
      </c>
      <c r="E5" s="1" t="s">
        <v>15</v>
      </c>
      <c r="F5" s="1">
        <v>75000</v>
      </c>
      <c r="G5">
        <f t="shared" ca="1" si="2"/>
        <v>1257</v>
      </c>
      <c r="H5">
        <f t="shared" si="3"/>
        <v>4</v>
      </c>
      <c r="I5">
        <f t="shared" si="4"/>
        <v>2023</v>
      </c>
      <c r="J5">
        <f t="shared" si="5"/>
        <v>9</v>
      </c>
    </row>
    <row r="6" spans="1:10" x14ac:dyDescent="0.3">
      <c r="A6" s="8" t="s">
        <v>10</v>
      </c>
      <c r="B6" s="21">
        <v>44782</v>
      </c>
      <c r="C6" s="21">
        <f t="shared" ca="1" si="1"/>
        <v>46282</v>
      </c>
      <c r="D6" s="25">
        <f t="shared" ca="1" si="0"/>
        <v>46282.393772569441</v>
      </c>
      <c r="E6" s="1" t="s">
        <v>13</v>
      </c>
      <c r="F6" s="1">
        <v>52000</v>
      </c>
      <c r="G6">
        <f t="shared" ca="1" si="2"/>
        <v>1500</v>
      </c>
      <c r="H6">
        <f t="shared" si="3"/>
        <v>8</v>
      </c>
      <c r="I6">
        <f t="shared" si="4"/>
        <v>2022</v>
      </c>
      <c r="J6">
        <f t="shared" si="5"/>
        <v>9</v>
      </c>
    </row>
    <row r="7" spans="1:10" x14ac:dyDescent="0.3">
      <c r="A7" s="8" t="s">
        <v>11</v>
      </c>
      <c r="B7" s="21">
        <v>44082</v>
      </c>
      <c r="C7" s="21">
        <f t="shared" ca="1" si="1"/>
        <v>46282</v>
      </c>
      <c r="D7" s="25">
        <f t="shared" ca="1" si="0"/>
        <v>46282.393772569441</v>
      </c>
      <c r="E7" s="1" t="s">
        <v>16</v>
      </c>
      <c r="F7" s="1">
        <v>40000</v>
      </c>
      <c r="G7">
        <f t="shared" ca="1" si="2"/>
        <v>2200</v>
      </c>
      <c r="H7">
        <f t="shared" si="3"/>
        <v>9</v>
      </c>
      <c r="I7">
        <f t="shared" si="4"/>
        <v>2020</v>
      </c>
      <c r="J7">
        <f t="shared" si="5"/>
        <v>8</v>
      </c>
    </row>
    <row r="8" spans="1:10" x14ac:dyDescent="0.3">
      <c r="A8" s="8" t="s">
        <v>12</v>
      </c>
      <c r="B8" s="21">
        <v>45360</v>
      </c>
      <c r="C8" s="21">
        <f t="shared" ca="1" si="1"/>
        <v>46282</v>
      </c>
      <c r="D8" s="25">
        <f t="shared" ca="1" si="0"/>
        <v>46282.393772569441</v>
      </c>
      <c r="E8" s="1" t="s">
        <v>13</v>
      </c>
      <c r="F8" s="1">
        <v>60000</v>
      </c>
      <c r="G8">
        <f t="shared" ca="1" si="2"/>
        <v>922</v>
      </c>
      <c r="H8">
        <f t="shared" si="3"/>
        <v>3</v>
      </c>
      <c r="I8">
        <f t="shared" si="4"/>
        <v>2024</v>
      </c>
      <c r="J8">
        <f t="shared" si="5"/>
        <v>9</v>
      </c>
    </row>
    <row r="12" spans="1:10" x14ac:dyDescent="0.3">
      <c r="A12" s="28" t="s">
        <v>140</v>
      </c>
      <c r="B12" s="28"/>
      <c r="C12" s="28"/>
      <c r="H12" t="s">
        <v>124</v>
      </c>
      <c r="I12" t="s">
        <v>142</v>
      </c>
    </row>
    <row r="13" spans="1:10" ht="15.6" x14ac:dyDescent="0.3">
      <c r="A13" s="7" t="s">
        <v>1</v>
      </c>
      <c r="B13" s="7" t="s">
        <v>137</v>
      </c>
      <c r="C13" s="7" t="s">
        <v>138</v>
      </c>
      <c r="D13" s="24" t="s">
        <v>139</v>
      </c>
      <c r="E13" s="7" t="s">
        <v>141</v>
      </c>
      <c r="H13" s="26">
        <v>43101</v>
      </c>
      <c r="I13" s="26">
        <v>45657</v>
      </c>
      <c r="J13">
        <f>I13-H13</f>
        <v>2556</v>
      </c>
    </row>
    <row r="14" spans="1:10" x14ac:dyDescent="0.3">
      <c r="A14" s="8" t="s">
        <v>7</v>
      </c>
      <c r="B14" s="22">
        <v>45182.339722222219</v>
      </c>
      <c r="C14">
        <v>6</v>
      </c>
      <c r="D14" s="24">
        <f>EDATE(B14,C14)</f>
        <v>45364</v>
      </c>
      <c r="E14" s="26">
        <f>EOMONTH(B14,C14)</f>
        <v>45382</v>
      </c>
    </row>
    <row r="15" spans="1:10" x14ac:dyDescent="0.3">
      <c r="A15" s="8" t="s">
        <v>8</v>
      </c>
      <c r="B15" s="21">
        <v>45420</v>
      </c>
      <c r="C15">
        <v>4</v>
      </c>
      <c r="D15" s="24">
        <f t="shared" ref="D15:D19" si="6">EDATE(B15,C15)</f>
        <v>45543</v>
      </c>
      <c r="E15" s="26">
        <f t="shared" ref="E15:E19" si="7">EOMONTH(B15,C15)</f>
        <v>45565</v>
      </c>
    </row>
    <row r="16" spans="1:10" x14ac:dyDescent="0.3">
      <c r="A16" s="8" t="s">
        <v>9</v>
      </c>
      <c r="B16" s="21">
        <v>45025</v>
      </c>
      <c r="C16">
        <v>9</v>
      </c>
      <c r="D16" s="24">
        <f t="shared" si="6"/>
        <v>45300</v>
      </c>
      <c r="E16" s="26">
        <f t="shared" si="7"/>
        <v>45322</v>
      </c>
    </row>
    <row r="17" spans="1:5" x14ac:dyDescent="0.3">
      <c r="A17" s="8" t="s">
        <v>10</v>
      </c>
      <c r="B17" s="21">
        <v>44782</v>
      </c>
      <c r="C17">
        <v>8</v>
      </c>
      <c r="D17" s="24">
        <f t="shared" si="6"/>
        <v>45025</v>
      </c>
      <c r="E17" s="26">
        <f t="shared" si="7"/>
        <v>45046</v>
      </c>
    </row>
    <row r="18" spans="1:5" x14ac:dyDescent="0.3">
      <c r="A18" s="8" t="s">
        <v>11</v>
      </c>
      <c r="B18" s="21">
        <v>44082</v>
      </c>
      <c r="C18">
        <v>4</v>
      </c>
      <c r="D18" s="24">
        <f t="shared" si="6"/>
        <v>44204</v>
      </c>
      <c r="E18" s="26">
        <f t="shared" si="7"/>
        <v>44227</v>
      </c>
    </row>
    <row r="19" spans="1:5" x14ac:dyDescent="0.3">
      <c r="A19" s="8" t="s">
        <v>12</v>
      </c>
      <c r="B19" s="21">
        <v>45360</v>
      </c>
      <c r="C19">
        <v>6</v>
      </c>
      <c r="D19" s="24">
        <f t="shared" si="6"/>
        <v>45544</v>
      </c>
      <c r="E19" s="26">
        <f t="shared" si="7"/>
        <v>45565</v>
      </c>
    </row>
  </sheetData>
  <mergeCells count="1">
    <mergeCell ref="A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5249-73DD-46B0-B4A8-B6F810B8CF32}">
  <dimension ref="A1:L20"/>
  <sheetViews>
    <sheetView workbookViewId="0">
      <selection activeCell="L15" sqref="L15"/>
    </sheetView>
  </sheetViews>
  <sheetFormatPr defaultRowHeight="14.4" x14ac:dyDescent="0.3"/>
  <cols>
    <col min="1" max="1" width="19" customWidth="1"/>
    <col min="2" max="2" width="15.77734375" customWidth="1"/>
    <col min="3" max="3" width="12.44140625" customWidth="1"/>
    <col min="4" max="4" width="20.88671875" customWidth="1"/>
    <col min="5" max="5" width="18" customWidth="1"/>
    <col min="8" max="8" width="24.33203125" customWidth="1"/>
    <col min="9" max="9" width="19.21875" customWidth="1"/>
    <col min="11" max="11" width="18.5546875" customWidth="1"/>
    <col min="12" max="12" width="13.77734375" customWidth="1"/>
  </cols>
  <sheetData>
    <row r="1" spans="1:12" x14ac:dyDescent="0.3">
      <c r="A1" s="27" t="s">
        <v>119</v>
      </c>
      <c r="B1" s="27"/>
      <c r="C1" s="27"/>
      <c r="D1" s="27"/>
      <c r="E1" s="27"/>
      <c r="H1" s="27" t="s">
        <v>120</v>
      </c>
      <c r="I1" s="27"/>
    </row>
    <row r="2" spans="1:12" ht="15.6" x14ac:dyDescent="0.3">
      <c r="A2" s="7" t="s">
        <v>1</v>
      </c>
      <c r="B2" s="6" t="s">
        <v>5</v>
      </c>
      <c r="C2" s="6" t="s">
        <v>6</v>
      </c>
      <c r="D2" s="6" t="s">
        <v>111</v>
      </c>
      <c r="E2" s="6" t="s">
        <v>112</v>
      </c>
      <c r="H2" s="6" t="s">
        <v>113</v>
      </c>
      <c r="I2" s="6" t="s">
        <v>118</v>
      </c>
    </row>
    <row r="3" spans="1:12" x14ac:dyDescent="0.3">
      <c r="A3" s="8" t="s">
        <v>7</v>
      </c>
      <c r="B3" s="1" t="s">
        <v>13</v>
      </c>
      <c r="C3" s="1">
        <v>65000</v>
      </c>
      <c r="D3">
        <v>93</v>
      </c>
      <c r="E3" t="str">
        <f>IF(AND(C3&gt;=50000,D3&gt;=80),"Bonus","No Bonus")</f>
        <v>Bonus</v>
      </c>
      <c r="H3" t="s">
        <v>114</v>
      </c>
      <c r="I3" t="str">
        <f>IF(OR(H3="Mango",H3="Banana"),"Fruit","Other")</f>
        <v>Fruit</v>
      </c>
    </row>
    <row r="4" spans="1:12" x14ac:dyDescent="0.3">
      <c r="A4" s="8" t="s">
        <v>8</v>
      </c>
      <c r="B4" s="1" t="s">
        <v>15</v>
      </c>
      <c r="C4" s="1">
        <v>45000</v>
      </c>
      <c r="D4">
        <v>78</v>
      </c>
      <c r="E4" t="str">
        <f t="shared" ref="E4:E8" si="0">IF(AND(C4&gt;=50000,D4&gt;=80),"Bonus","No Bonus")</f>
        <v>No Bonus</v>
      </c>
      <c r="H4" t="s">
        <v>115</v>
      </c>
      <c r="I4" t="str">
        <f t="shared" ref="I4:I6" si="1">IF(OR(H4="Mango",H4="Banana"),"Fruit","Other")</f>
        <v>Fruit</v>
      </c>
    </row>
    <row r="5" spans="1:12" x14ac:dyDescent="0.3">
      <c r="A5" s="8" t="s">
        <v>9</v>
      </c>
      <c r="B5" s="1" t="s">
        <v>15</v>
      </c>
      <c r="C5" s="1">
        <v>75000</v>
      </c>
      <c r="D5">
        <v>70</v>
      </c>
      <c r="E5" t="str">
        <f t="shared" si="0"/>
        <v>No Bonus</v>
      </c>
      <c r="H5" t="s">
        <v>116</v>
      </c>
      <c r="I5" t="str">
        <f t="shared" si="1"/>
        <v>Other</v>
      </c>
    </row>
    <row r="6" spans="1:12" x14ac:dyDescent="0.3">
      <c r="A6" s="8" t="s">
        <v>10</v>
      </c>
      <c r="B6" s="1" t="s">
        <v>13</v>
      </c>
      <c r="C6" s="1">
        <v>52000</v>
      </c>
      <c r="D6">
        <v>97</v>
      </c>
      <c r="E6" t="str">
        <f t="shared" si="0"/>
        <v>Bonus</v>
      </c>
      <c r="H6" t="s">
        <v>117</v>
      </c>
      <c r="I6" t="str">
        <f t="shared" si="1"/>
        <v>Other</v>
      </c>
    </row>
    <row r="7" spans="1:12" x14ac:dyDescent="0.3">
      <c r="A7" s="8" t="s">
        <v>11</v>
      </c>
      <c r="B7" s="1" t="s">
        <v>16</v>
      </c>
      <c r="C7" s="1">
        <v>60000</v>
      </c>
      <c r="D7">
        <v>88</v>
      </c>
      <c r="E7" t="str">
        <f t="shared" si="0"/>
        <v>Bonus</v>
      </c>
    </row>
    <row r="8" spans="1:12" x14ac:dyDescent="0.3">
      <c r="A8" s="8" t="s">
        <v>12</v>
      </c>
      <c r="B8" s="1" t="s">
        <v>13</v>
      </c>
      <c r="C8" s="1">
        <v>60000</v>
      </c>
      <c r="D8">
        <v>88</v>
      </c>
      <c r="E8" t="str">
        <f t="shared" si="0"/>
        <v>Bonus</v>
      </c>
    </row>
    <row r="13" spans="1:12" x14ac:dyDescent="0.3">
      <c r="A13" s="27" t="s">
        <v>121</v>
      </c>
      <c r="B13" s="27"/>
      <c r="C13" s="27"/>
      <c r="D13" s="27"/>
      <c r="H13" s="27" t="s">
        <v>123</v>
      </c>
      <c r="I13" s="27"/>
      <c r="J13" s="27"/>
      <c r="K13" s="27"/>
    </row>
    <row r="14" spans="1:12" ht="15.6" x14ac:dyDescent="0.3">
      <c r="A14" s="7" t="s">
        <v>1</v>
      </c>
      <c r="B14" s="6" t="s">
        <v>5</v>
      </c>
      <c r="C14" s="6" t="s">
        <v>6</v>
      </c>
      <c r="D14" s="6" t="s">
        <v>111</v>
      </c>
      <c r="E14" s="6" t="s">
        <v>122</v>
      </c>
      <c r="H14" s="7" t="s">
        <v>1</v>
      </c>
      <c r="I14" s="6" t="s">
        <v>5</v>
      </c>
      <c r="J14" s="6" t="s">
        <v>6</v>
      </c>
      <c r="K14" s="6" t="s">
        <v>111</v>
      </c>
      <c r="L14" s="6" t="s">
        <v>122</v>
      </c>
    </row>
    <row r="15" spans="1:12" x14ac:dyDescent="0.3">
      <c r="A15" s="8" t="s">
        <v>7</v>
      </c>
      <c r="B15" s="1" t="s">
        <v>13</v>
      </c>
      <c r="C15" s="1">
        <v>65000</v>
      </c>
      <c r="D15">
        <v>93</v>
      </c>
      <c r="E15" t="str">
        <f>IF(D15&gt;=90,"Excellent",IF(D15&gt;=80,"Very Good",IF(D15&gt;=70,"Good","Need to Improve")))</f>
        <v>Excellent</v>
      </c>
      <c r="H15" s="8" t="s">
        <v>7</v>
      </c>
      <c r="I15" s="1" t="s">
        <v>13</v>
      </c>
      <c r="J15" s="1">
        <v>65000</v>
      </c>
      <c r="K15">
        <v>93</v>
      </c>
      <c r="L15" t="str" cm="1">
        <f t="array" ref="L15">_xlfn.IFS(K15&gt;=90,"Excellent",K15&gt;=80,"Very Good",K15&gt;=70,"Good",TRUE,"Need to Improve")</f>
        <v>Excellent</v>
      </c>
    </row>
    <row r="16" spans="1:12" x14ac:dyDescent="0.3">
      <c r="A16" s="8" t="s">
        <v>8</v>
      </c>
      <c r="B16" s="1" t="s">
        <v>15</v>
      </c>
      <c r="C16" s="1">
        <v>45000</v>
      </c>
      <c r="D16">
        <v>78</v>
      </c>
      <c r="E16" t="str">
        <f t="shared" ref="E16:E20" si="2">IF(D16&gt;=90,"Excellent",IF(D16&gt;=80,"Very Good",IF(D16&gt;=70,"Good","Need to Improve")))</f>
        <v>Good</v>
      </c>
      <c r="H16" s="8" t="s">
        <v>8</v>
      </c>
      <c r="I16" s="1" t="s">
        <v>15</v>
      </c>
      <c r="J16" s="1">
        <v>45000</v>
      </c>
      <c r="K16">
        <v>78</v>
      </c>
      <c r="L16" t="str" cm="1">
        <f t="array" ref="L16">_xlfn.IFS(K16&gt;=90,"Excellent",K16&gt;=80,"Very Good",K16&gt;=70,"Good",TRUE,"Need to Improve")</f>
        <v>Good</v>
      </c>
    </row>
    <row r="17" spans="1:12" x14ac:dyDescent="0.3">
      <c r="A17" s="8" t="s">
        <v>9</v>
      </c>
      <c r="B17" s="1" t="s">
        <v>15</v>
      </c>
      <c r="C17" s="1">
        <v>75000</v>
      </c>
      <c r="D17">
        <v>70</v>
      </c>
      <c r="E17" t="str">
        <f t="shared" si="2"/>
        <v>Good</v>
      </c>
      <c r="H17" s="8" t="s">
        <v>9</v>
      </c>
      <c r="I17" s="1" t="s">
        <v>15</v>
      </c>
      <c r="J17" s="1">
        <v>75000</v>
      </c>
      <c r="K17">
        <v>70</v>
      </c>
      <c r="L17" t="str" cm="1">
        <f t="array" ref="L17">_xlfn.IFS(K17&gt;=90,"Excellent",K17&gt;=80,"Very Good",K17&gt;=70,"Good",TRUE,"Need to Improve")</f>
        <v>Good</v>
      </c>
    </row>
    <row r="18" spans="1:12" x14ac:dyDescent="0.3">
      <c r="A18" s="8" t="s">
        <v>10</v>
      </c>
      <c r="B18" s="1" t="s">
        <v>13</v>
      </c>
      <c r="C18" s="1">
        <v>52000</v>
      </c>
      <c r="D18">
        <v>88</v>
      </c>
      <c r="E18" t="str">
        <f t="shared" si="2"/>
        <v>Very Good</v>
      </c>
      <c r="H18" s="8" t="s">
        <v>10</v>
      </c>
      <c r="I18" s="1" t="s">
        <v>13</v>
      </c>
      <c r="J18" s="1">
        <v>52000</v>
      </c>
      <c r="K18">
        <v>88</v>
      </c>
      <c r="L18" t="str" cm="1">
        <f t="array" ref="L18">_xlfn.IFS(K18&gt;=90,"Excellent",K18&gt;=80,"Very Good",K18&gt;=70,"Good",TRUE,"Need to Improve")</f>
        <v>Very Good</v>
      </c>
    </row>
    <row r="19" spans="1:12" x14ac:dyDescent="0.3">
      <c r="A19" s="8" t="s">
        <v>11</v>
      </c>
      <c r="B19" s="1" t="s">
        <v>16</v>
      </c>
      <c r="C19" s="1">
        <v>60000</v>
      </c>
      <c r="D19">
        <v>65</v>
      </c>
      <c r="E19" t="str">
        <f t="shared" si="2"/>
        <v>Need to Improve</v>
      </c>
      <c r="H19" s="8" t="s">
        <v>11</v>
      </c>
      <c r="I19" s="1" t="s">
        <v>16</v>
      </c>
      <c r="J19" s="1">
        <v>60000</v>
      </c>
      <c r="K19">
        <v>65</v>
      </c>
      <c r="L19" t="str" cm="1">
        <f t="array" ref="L19">_xlfn.IFS(K19&gt;=90,"Excellent",K19&gt;=80,"Very Good",K19&gt;=70,"Good",TRUE,"Need to Improve")</f>
        <v>Need to Improve</v>
      </c>
    </row>
    <row r="20" spans="1:12" x14ac:dyDescent="0.3">
      <c r="A20" s="8" t="s">
        <v>12</v>
      </c>
      <c r="B20" s="1" t="s">
        <v>13</v>
      </c>
      <c r="C20" s="1">
        <v>60000</v>
      </c>
      <c r="D20">
        <v>88</v>
      </c>
      <c r="E20" t="str">
        <f t="shared" si="2"/>
        <v>Very Good</v>
      </c>
      <c r="H20" s="8" t="s">
        <v>12</v>
      </c>
      <c r="I20" s="1" t="s">
        <v>13</v>
      </c>
      <c r="J20" s="1">
        <v>60000</v>
      </c>
      <c r="K20">
        <v>88</v>
      </c>
      <c r="L20" t="str" cm="1">
        <f t="array" ref="L20">_xlfn.IFS(K20&gt;=90,"Excellent",K20&gt;=80,"Very Good",K20&gt;=70,"Good",TRUE,"Need to Improve")</f>
        <v>Very Good</v>
      </c>
    </row>
  </sheetData>
  <mergeCells count="4">
    <mergeCell ref="A1:E1"/>
    <mergeCell ref="H1:I1"/>
    <mergeCell ref="A13:D13"/>
    <mergeCell ref="H13:K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8A48-DC5D-429D-914A-E46E686446E9}">
  <dimension ref="A1:H22"/>
  <sheetViews>
    <sheetView tabSelected="1" workbookViewId="0">
      <selection activeCell="H22" sqref="H22"/>
    </sheetView>
  </sheetViews>
  <sheetFormatPr defaultRowHeight="14.4" x14ac:dyDescent="0.3"/>
  <cols>
    <col min="1" max="1" width="18.109375" customWidth="1"/>
    <col min="2" max="2" width="18.88671875" customWidth="1"/>
    <col min="3" max="3" width="33.109375" customWidth="1"/>
  </cols>
  <sheetData>
    <row r="1" spans="1:8" x14ac:dyDescent="0.3">
      <c r="A1" s="27" t="s">
        <v>152</v>
      </c>
      <c r="B1" s="27"/>
      <c r="C1" s="27"/>
      <c r="D1" s="27"/>
      <c r="E1" s="27"/>
      <c r="F1" s="27"/>
    </row>
    <row r="2" spans="1:8" x14ac:dyDescent="0.3">
      <c r="A2" s="3" t="s">
        <v>2</v>
      </c>
      <c r="B2" s="3" t="s">
        <v>4</v>
      </c>
      <c r="C2" s="3" t="s">
        <v>143</v>
      </c>
      <c r="D2" s="3" t="s">
        <v>54</v>
      </c>
      <c r="E2" s="3" t="s">
        <v>55</v>
      </c>
      <c r="F2" s="3" t="s">
        <v>3</v>
      </c>
      <c r="H2" s="3" t="s">
        <v>144</v>
      </c>
    </row>
    <row r="3" spans="1:8" x14ac:dyDescent="0.3">
      <c r="A3" s="16">
        <v>46023</v>
      </c>
      <c r="B3" s="17" t="s">
        <v>61</v>
      </c>
      <c r="C3" t="str">
        <f t="shared" ref="C3:C22" si="0">TRIM(B3)</f>
        <v>AKSHAY SUNKARI</v>
      </c>
      <c r="D3" t="s">
        <v>63</v>
      </c>
      <c r="E3" t="s">
        <v>14</v>
      </c>
      <c r="F3" s="10">
        <v>1200</v>
      </c>
      <c r="H3" s="1">
        <f>COUNTIF(D3:D22,"USA")</f>
        <v>6</v>
      </c>
    </row>
    <row r="4" spans="1:8" x14ac:dyDescent="0.3">
      <c r="A4" s="16">
        <v>46025</v>
      </c>
      <c r="B4" t="s">
        <v>64</v>
      </c>
      <c r="C4" t="str">
        <f t="shared" si="0"/>
        <v>Anvesh Hirve</v>
      </c>
      <c r="D4" t="s">
        <v>66</v>
      </c>
      <c r="E4" t="s">
        <v>67</v>
      </c>
      <c r="F4">
        <v>800</v>
      </c>
    </row>
    <row r="5" spans="1:8" x14ac:dyDescent="0.3">
      <c r="A5" s="16">
        <v>46027</v>
      </c>
      <c r="B5" t="s">
        <v>68</v>
      </c>
      <c r="C5" t="str">
        <f t="shared" si="0"/>
        <v>ATLURI CHARITHA SRI</v>
      </c>
      <c r="D5" t="s">
        <v>70</v>
      </c>
      <c r="E5" t="s">
        <v>14</v>
      </c>
      <c r="F5">
        <v>600</v>
      </c>
      <c r="H5" t="s">
        <v>145</v>
      </c>
    </row>
    <row r="6" spans="1:8" x14ac:dyDescent="0.3">
      <c r="A6" s="16">
        <v>46030</v>
      </c>
      <c r="B6" t="s">
        <v>71</v>
      </c>
      <c r="C6" t="str">
        <f t="shared" si="0"/>
        <v>B Ramakrishna</v>
      </c>
      <c r="D6" t="s">
        <v>63</v>
      </c>
      <c r="E6" t="s">
        <v>14</v>
      </c>
      <c r="F6" s="10">
        <v>1500</v>
      </c>
      <c r="H6" s="1">
        <f>COUNTIFS(D3:D22,"USA",E3:E22,"A")</f>
        <v>3</v>
      </c>
    </row>
    <row r="7" spans="1:8" x14ac:dyDescent="0.3">
      <c r="A7" s="16">
        <v>46034</v>
      </c>
      <c r="B7" t="s">
        <v>73</v>
      </c>
      <c r="C7" t="str">
        <f t="shared" si="0"/>
        <v>Bhavana Koneti</v>
      </c>
      <c r="D7" t="s">
        <v>63</v>
      </c>
      <c r="E7" t="s">
        <v>67</v>
      </c>
      <c r="F7" s="10">
        <v>900</v>
      </c>
    </row>
    <row r="8" spans="1:8" x14ac:dyDescent="0.3">
      <c r="A8" s="16">
        <v>46037</v>
      </c>
      <c r="B8" t="s">
        <v>75</v>
      </c>
      <c r="C8" t="str">
        <f t="shared" si="0"/>
        <v xml:space="preserve">	Brijesh Mali</v>
      </c>
      <c r="D8" t="s">
        <v>77</v>
      </c>
      <c r="E8" t="s">
        <v>67</v>
      </c>
      <c r="F8">
        <v>700</v>
      </c>
    </row>
    <row r="9" spans="1:8" x14ac:dyDescent="0.3">
      <c r="A9" s="16">
        <v>46042</v>
      </c>
      <c r="B9" t="s">
        <v>78</v>
      </c>
      <c r="C9" t="str">
        <f t="shared" si="0"/>
        <v>Chandana Peddapelly</v>
      </c>
      <c r="D9" t="s">
        <v>66</v>
      </c>
      <c r="E9" t="s">
        <v>80</v>
      </c>
      <c r="F9">
        <v>1300</v>
      </c>
      <c r="H9" s="10" t="s">
        <v>146</v>
      </c>
    </row>
    <row r="10" spans="1:8" x14ac:dyDescent="0.3">
      <c r="A10" s="16">
        <v>46047</v>
      </c>
      <c r="B10" t="s">
        <v>81</v>
      </c>
      <c r="C10" t="str">
        <f t="shared" si="0"/>
        <v>Dinesh Kumar Bolla</v>
      </c>
      <c r="D10" t="s">
        <v>70</v>
      </c>
      <c r="E10" t="s">
        <v>67</v>
      </c>
      <c r="F10">
        <v>1100</v>
      </c>
      <c r="H10" s="10" t="s">
        <v>147</v>
      </c>
    </row>
    <row r="11" spans="1:8" x14ac:dyDescent="0.3">
      <c r="A11" s="16">
        <v>46055</v>
      </c>
      <c r="B11" t="s">
        <v>83</v>
      </c>
      <c r="C11" t="str">
        <f t="shared" si="0"/>
        <v>J Sujay</v>
      </c>
      <c r="D11" t="s">
        <v>63</v>
      </c>
      <c r="E11" t="s">
        <v>14</v>
      </c>
      <c r="F11" s="10">
        <v>750</v>
      </c>
      <c r="H11" s="1">
        <f>SUMIF(D3:D22,"USA",F3:F22)</f>
        <v>7000</v>
      </c>
    </row>
    <row r="12" spans="1:8" x14ac:dyDescent="0.3">
      <c r="A12" s="16">
        <v>46058</v>
      </c>
      <c r="B12" t="s">
        <v>85</v>
      </c>
      <c r="C12" t="str">
        <f t="shared" si="0"/>
        <v>Karrola Nagaraju</v>
      </c>
      <c r="D12" t="s">
        <v>77</v>
      </c>
      <c r="E12" t="s">
        <v>80</v>
      </c>
      <c r="F12">
        <v>1400</v>
      </c>
      <c r="H12" t="s">
        <v>148</v>
      </c>
    </row>
    <row r="13" spans="1:8" x14ac:dyDescent="0.3">
      <c r="A13" s="16">
        <v>46063</v>
      </c>
      <c r="B13" t="s">
        <v>87</v>
      </c>
      <c r="C13" t="str">
        <f t="shared" si="0"/>
        <v>Lalam Satyanarayana</v>
      </c>
      <c r="D13" t="s">
        <v>63</v>
      </c>
      <c r="E13" t="s">
        <v>67</v>
      </c>
      <c r="F13" s="10">
        <v>950</v>
      </c>
      <c r="H13" s="10" t="s">
        <v>149</v>
      </c>
    </row>
    <row r="14" spans="1:8" x14ac:dyDescent="0.3">
      <c r="A14" s="16">
        <v>46067</v>
      </c>
      <c r="B14" t="s">
        <v>89</v>
      </c>
      <c r="C14" t="str">
        <f t="shared" si="0"/>
        <v>Naveen Shivakoti</v>
      </c>
      <c r="D14" t="s">
        <v>66</v>
      </c>
      <c r="E14" t="s">
        <v>14</v>
      </c>
      <c r="F14">
        <v>680</v>
      </c>
      <c r="H14" s="1">
        <f>SUMIFS(F3:F22,D3:D22,"USA",E3:E22,"A")</f>
        <v>3450</v>
      </c>
    </row>
    <row r="15" spans="1:8" x14ac:dyDescent="0.3">
      <c r="A15" s="16">
        <v>46071</v>
      </c>
      <c r="B15" t="s">
        <v>91</v>
      </c>
      <c r="C15" t="str">
        <f t="shared" si="0"/>
        <v>rudra premkumar</v>
      </c>
      <c r="D15" t="s">
        <v>70</v>
      </c>
      <c r="E15" t="s">
        <v>80</v>
      </c>
      <c r="F15">
        <v>1600</v>
      </c>
    </row>
    <row r="16" spans="1:8" x14ac:dyDescent="0.3">
      <c r="A16" s="16">
        <v>46075</v>
      </c>
      <c r="B16" t="s">
        <v>93</v>
      </c>
      <c r="C16" t="str">
        <f t="shared" si="0"/>
        <v>Samiksha Moharana</v>
      </c>
      <c r="D16" t="s">
        <v>95</v>
      </c>
      <c r="E16" t="s">
        <v>67</v>
      </c>
      <c r="F16">
        <v>1000</v>
      </c>
      <c r="H16" t="s">
        <v>150</v>
      </c>
    </row>
    <row r="17" spans="1:8" x14ac:dyDescent="0.3">
      <c r="A17" s="16">
        <v>46080</v>
      </c>
      <c r="B17" t="s">
        <v>96</v>
      </c>
      <c r="C17" t="str">
        <f t="shared" si="0"/>
        <v>Shivaprathap Singiri</v>
      </c>
      <c r="D17" t="s">
        <v>77</v>
      </c>
      <c r="E17" t="s">
        <v>67</v>
      </c>
      <c r="F17">
        <v>720</v>
      </c>
      <c r="H17" t="s">
        <v>151</v>
      </c>
    </row>
    <row r="18" spans="1:8" x14ac:dyDescent="0.3">
      <c r="A18" s="16">
        <v>46084</v>
      </c>
      <c r="B18" t="s">
        <v>98</v>
      </c>
      <c r="C18" t="str">
        <f t="shared" si="0"/>
        <v>Shriya Mechineni</v>
      </c>
      <c r="D18" t="s">
        <v>63</v>
      </c>
      <c r="E18" t="s">
        <v>80</v>
      </c>
      <c r="F18" s="10">
        <v>1700</v>
      </c>
    </row>
    <row r="19" spans="1:8" x14ac:dyDescent="0.3">
      <c r="A19" s="16">
        <v>46088</v>
      </c>
      <c r="B19" t="s">
        <v>100</v>
      </c>
      <c r="C19" t="str">
        <f t="shared" si="0"/>
        <v>Siri Mandadapu</v>
      </c>
      <c r="D19" t="s">
        <v>66</v>
      </c>
      <c r="E19" t="s">
        <v>67</v>
      </c>
      <c r="F19">
        <v>1050</v>
      </c>
    </row>
    <row r="20" spans="1:8" x14ac:dyDescent="0.3">
      <c r="A20" s="16">
        <v>46093</v>
      </c>
      <c r="B20" t="s">
        <v>102</v>
      </c>
      <c r="C20" t="str">
        <f t="shared" si="0"/>
        <v>SLVSNTejaswi-kota</v>
      </c>
      <c r="D20" t="s">
        <v>70</v>
      </c>
      <c r="E20" t="s">
        <v>14</v>
      </c>
      <c r="F20">
        <v>800</v>
      </c>
    </row>
    <row r="21" spans="1:8" x14ac:dyDescent="0.3">
      <c r="A21" s="16">
        <v>46099</v>
      </c>
      <c r="B21" t="s">
        <v>104</v>
      </c>
      <c r="C21" t="str">
        <f t="shared" si="0"/>
        <v>suma sri priya</v>
      </c>
      <c r="D21" t="s">
        <v>95</v>
      </c>
      <c r="E21" t="s">
        <v>80</v>
      </c>
      <c r="F21">
        <v>1550</v>
      </c>
    </row>
    <row r="22" spans="1:8" x14ac:dyDescent="0.3">
      <c r="A22" s="18">
        <v>46103</v>
      </c>
      <c r="B22" t="s">
        <v>106</v>
      </c>
      <c r="C22" t="str">
        <f t="shared" si="0"/>
        <v>Thejaswini Padurthi</v>
      </c>
      <c r="D22" s="19" t="s">
        <v>77</v>
      </c>
      <c r="E22" s="19" t="s">
        <v>67</v>
      </c>
      <c r="F22" s="19">
        <v>980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57EC-3127-4D92-B939-551F91A77069}">
  <dimension ref="A1:I12"/>
  <sheetViews>
    <sheetView workbookViewId="0">
      <selection activeCell="J22" sqref="J22"/>
    </sheetView>
  </sheetViews>
  <sheetFormatPr defaultRowHeight="14.4" x14ac:dyDescent="0.3"/>
  <cols>
    <col min="1" max="1" width="11.21875" customWidth="1"/>
    <col min="6" max="6" width="16" customWidth="1"/>
    <col min="7" max="7" width="10.21875" customWidth="1"/>
    <col min="9" max="9" width="14.5546875" customWidth="1"/>
  </cols>
  <sheetData>
    <row r="1" spans="1:9" x14ac:dyDescent="0.3">
      <c r="A1" s="4"/>
      <c r="B1" s="4" t="s">
        <v>49</v>
      </c>
      <c r="C1" s="4" t="s">
        <v>50</v>
      </c>
      <c r="F1" s="4"/>
      <c r="G1" s="4"/>
      <c r="H1" s="4"/>
      <c r="I1" s="4" t="s">
        <v>51</v>
      </c>
    </row>
    <row r="2" spans="1:9" x14ac:dyDescent="0.3">
      <c r="A2" s="27" t="s">
        <v>17</v>
      </c>
      <c r="B2" s="27"/>
      <c r="C2" s="27"/>
      <c r="F2" s="27" t="s">
        <v>17</v>
      </c>
      <c r="G2" s="27"/>
      <c r="H2" s="27"/>
      <c r="I2" s="27"/>
    </row>
    <row r="3" spans="1:9" x14ac:dyDescent="0.3">
      <c r="A3" s="3" t="s">
        <v>0</v>
      </c>
      <c r="B3" s="3" t="s">
        <v>4</v>
      </c>
      <c r="C3" s="3" t="s">
        <v>40</v>
      </c>
      <c r="F3" s="29" t="s">
        <v>17</v>
      </c>
      <c r="G3" s="29"/>
      <c r="H3" s="29"/>
      <c r="I3" s="29"/>
    </row>
    <row r="4" spans="1:9" x14ac:dyDescent="0.3">
      <c r="A4" t="s">
        <v>32</v>
      </c>
      <c r="B4" t="str">
        <f>LEFT(A4,3)</f>
        <v>EMP</v>
      </c>
      <c r="C4" t="str">
        <f>RIGHT(A4,4)</f>
        <v>1001</v>
      </c>
      <c r="F4" s="2" t="s">
        <v>0</v>
      </c>
      <c r="G4" s="2" t="s">
        <v>4</v>
      </c>
      <c r="H4" s="2" t="s">
        <v>40</v>
      </c>
      <c r="I4" s="2" t="s">
        <v>5</v>
      </c>
    </row>
    <row r="5" spans="1:9" x14ac:dyDescent="0.3">
      <c r="A5" t="s">
        <v>33</v>
      </c>
      <c r="B5" t="str">
        <f t="shared" ref="B5:B11" si="0">LEFT(A5,3)</f>
        <v>EMP</v>
      </c>
      <c r="C5" t="str">
        <f t="shared" ref="C5:C11" si="1">RIGHT(A5,4)</f>
        <v>1002</v>
      </c>
      <c r="F5" t="s">
        <v>46</v>
      </c>
      <c r="G5" t="str">
        <f>LEFT(F5,3)</f>
        <v>EMP</v>
      </c>
      <c r="H5" t="str">
        <f>RIGHT(F5,4)</f>
        <v>1001</v>
      </c>
      <c r="I5" t="str">
        <f>MID(F5,5,2)</f>
        <v>IT</v>
      </c>
    </row>
    <row r="6" spans="1:9" x14ac:dyDescent="0.3">
      <c r="A6" t="s">
        <v>34</v>
      </c>
      <c r="B6" t="str">
        <f t="shared" si="0"/>
        <v>EMP</v>
      </c>
      <c r="C6" t="str">
        <f t="shared" si="1"/>
        <v>1003</v>
      </c>
      <c r="F6" t="s">
        <v>41</v>
      </c>
      <c r="G6" t="str">
        <f t="shared" ref="G6:G12" si="2">LEFT(F6,3)</f>
        <v>EMP</v>
      </c>
      <c r="H6" t="str">
        <f t="shared" ref="H6:H12" si="3">RIGHT(F6,4)</f>
        <v>1002</v>
      </c>
      <c r="I6" t="str">
        <f t="shared" ref="I6:I12" si="4">MID(F6,5,2)</f>
        <v>HR</v>
      </c>
    </row>
    <row r="7" spans="1:9" x14ac:dyDescent="0.3">
      <c r="A7" t="s">
        <v>35</v>
      </c>
      <c r="B7" t="str">
        <f t="shared" si="0"/>
        <v>EMP</v>
      </c>
      <c r="C7" t="str">
        <f t="shared" si="1"/>
        <v>1004</v>
      </c>
      <c r="F7" t="s">
        <v>42</v>
      </c>
      <c r="G7" t="str">
        <f t="shared" si="2"/>
        <v>EMP</v>
      </c>
      <c r="H7" t="str">
        <f t="shared" si="3"/>
        <v>1003</v>
      </c>
      <c r="I7" t="str">
        <f t="shared" si="4"/>
        <v>HR</v>
      </c>
    </row>
    <row r="8" spans="1:9" x14ac:dyDescent="0.3">
      <c r="A8" t="s">
        <v>36</v>
      </c>
      <c r="B8" t="str">
        <f t="shared" si="0"/>
        <v>EMP</v>
      </c>
      <c r="C8" t="str">
        <f t="shared" si="1"/>
        <v>1005</v>
      </c>
      <c r="F8" t="s">
        <v>47</v>
      </c>
      <c r="G8" t="str">
        <f t="shared" si="2"/>
        <v>EMP</v>
      </c>
      <c r="H8" t="str">
        <f t="shared" si="3"/>
        <v>1004</v>
      </c>
      <c r="I8" t="str">
        <f t="shared" si="4"/>
        <v>IT</v>
      </c>
    </row>
    <row r="9" spans="1:9" x14ac:dyDescent="0.3">
      <c r="A9" t="s">
        <v>37</v>
      </c>
      <c r="B9" t="str">
        <f t="shared" si="0"/>
        <v>EMP</v>
      </c>
      <c r="C9" t="str">
        <f t="shared" si="1"/>
        <v>1006</v>
      </c>
      <c r="F9" t="s">
        <v>43</v>
      </c>
      <c r="G9" t="str">
        <f t="shared" si="2"/>
        <v>EMP</v>
      </c>
      <c r="H9" t="str">
        <f t="shared" si="3"/>
        <v>1005</v>
      </c>
      <c r="I9" t="str">
        <f t="shared" si="4"/>
        <v>FI</v>
      </c>
    </row>
    <row r="10" spans="1:9" x14ac:dyDescent="0.3">
      <c r="A10" t="s">
        <v>38</v>
      </c>
      <c r="B10" t="str">
        <f t="shared" si="0"/>
        <v>EMP</v>
      </c>
      <c r="C10" t="str">
        <f t="shared" si="1"/>
        <v>1007</v>
      </c>
      <c r="F10" t="s">
        <v>48</v>
      </c>
      <c r="G10" t="str">
        <f t="shared" si="2"/>
        <v>EMP</v>
      </c>
      <c r="H10" t="str">
        <f t="shared" si="3"/>
        <v>1006</v>
      </c>
      <c r="I10" t="str">
        <f t="shared" si="4"/>
        <v>HR</v>
      </c>
    </row>
    <row r="11" spans="1:9" x14ac:dyDescent="0.3">
      <c r="A11" t="s">
        <v>39</v>
      </c>
      <c r="B11" t="str">
        <f t="shared" si="0"/>
        <v>EMP</v>
      </c>
      <c r="C11" t="str">
        <f t="shared" si="1"/>
        <v>1008</v>
      </c>
      <c r="F11" t="s">
        <v>44</v>
      </c>
      <c r="G11" t="str">
        <f t="shared" si="2"/>
        <v>EMP</v>
      </c>
      <c r="H11" t="str">
        <f t="shared" si="3"/>
        <v>1007</v>
      </c>
      <c r="I11" t="str">
        <f t="shared" si="4"/>
        <v>FI</v>
      </c>
    </row>
    <row r="12" spans="1:9" x14ac:dyDescent="0.3">
      <c r="F12" t="s">
        <v>45</v>
      </c>
      <c r="G12" t="str">
        <f t="shared" si="2"/>
        <v>EMP</v>
      </c>
      <c r="H12" t="str">
        <f t="shared" si="3"/>
        <v>1008</v>
      </c>
      <c r="I12" t="str">
        <f t="shared" si="4"/>
        <v>IT</v>
      </c>
    </row>
  </sheetData>
  <mergeCells count="3">
    <mergeCell ref="A2:C2"/>
    <mergeCell ref="F3:I3"/>
    <mergeCell ref="F2:I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2BEB-FE1A-47B0-8DBB-EF6CA3942B4C}">
  <dimension ref="A1:L23"/>
  <sheetViews>
    <sheetView workbookViewId="0">
      <selection activeCell="E25" sqref="E25"/>
    </sheetView>
  </sheetViews>
  <sheetFormatPr defaultRowHeight="14.4" x14ac:dyDescent="0.3"/>
  <cols>
    <col min="1" max="1" width="12.88671875" customWidth="1"/>
    <col min="3" max="3" width="18.109375" customWidth="1"/>
    <col min="4" max="4" width="16.44140625" customWidth="1"/>
    <col min="8" max="8" width="26.109375" customWidth="1"/>
    <col min="9" max="9" width="22.5546875" customWidth="1"/>
    <col min="10" max="10" width="18.6640625" customWidth="1"/>
    <col min="11" max="11" width="32" customWidth="1"/>
    <col min="12" max="12" width="19.21875" customWidth="1"/>
  </cols>
  <sheetData>
    <row r="1" spans="1:12" s="20" customFormat="1" x14ac:dyDescent="0.3">
      <c r="C1" s="20" t="s">
        <v>109</v>
      </c>
      <c r="H1" s="20" t="s">
        <v>56</v>
      </c>
      <c r="I1" s="20" t="s">
        <v>57</v>
      </c>
      <c r="J1" s="20" t="s">
        <v>58</v>
      </c>
      <c r="K1" s="20" t="s">
        <v>110</v>
      </c>
      <c r="L1" s="20" t="s">
        <v>110</v>
      </c>
    </row>
    <row r="2" spans="1:12" ht="15.6" x14ac:dyDescent="0.3">
      <c r="A2" s="30" t="s">
        <v>108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2" customFormat="1" x14ac:dyDescent="0.3">
      <c r="A3" s="3" t="s">
        <v>2</v>
      </c>
      <c r="B3" s="3" t="s">
        <v>4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3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60</v>
      </c>
    </row>
    <row r="4" spans="1:12" x14ac:dyDescent="0.3">
      <c r="A4" s="16">
        <v>46023</v>
      </c>
      <c r="B4" s="17" t="s">
        <v>61</v>
      </c>
      <c r="C4" s="17" t="str">
        <f>TRIM(B4)</f>
        <v>AKSHAY SUNKARI</v>
      </c>
      <c r="D4" s="17" t="s">
        <v>62</v>
      </c>
      <c r="E4" t="s">
        <v>63</v>
      </c>
      <c r="F4" t="s">
        <v>14</v>
      </c>
      <c r="G4">
        <v>1200</v>
      </c>
      <c r="H4" t="str">
        <f>UPPER(C4)</f>
        <v>AKSHAY SUNKARI</v>
      </c>
      <c r="I4" t="str">
        <f>LOWER(C4)</f>
        <v>akshay sunkari</v>
      </c>
      <c r="J4" t="str">
        <f>PROPER(C4)</f>
        <v>Akshay Sunkari</v>
      </c>
      <c r="K4" t="str">
        <f>_xlfn.CONCAT(C4," ",D4)</f>
        <v>AKSHAY SUNKARI SUNKARI</v>
      </c>
      <c r="L4" t="str">
        <f>_xlfn.CONCAT(E4,"-",G4)</f>
        <v>USA-1200</v>
      </c>
    </row>
    <row r="5" spans="1:12" x14ac:dyDescent="0.3">
      <c r="A5" s="16">
        <v>46025</v>
      </c>
      <c r="B5" t="s">
        <v>64</v>
      </c>
      <c r="C5" s="17" t="str">
        <f t="shared" ref="C5:C23" si="0">TRIM(B5)</f>
        <v>Anvesh Hirve</v>
      </c>
      <c r="D5" t="s">
        <v>65</v>
      </c>
      <c r="E5" t="s">
        <v>66</v>
      </c>
      <c r="F5" t="s">
        <v>67</v>
      </c>
      <c r="G5">
        <v>800</v>
      </c>
      <c r="H5" t="str">
        <f t="shared" ref="H5:H23" si="1">UPPER(C5)</f>
        <v>ANVESH HIRVE</v>
      </c>
      <c r="I5" t="str">
        <f t="shared" ref="I5:I23" si="2">LOWER(C5)</f>
        <v>anvesh hirve</v>
      </c>
      <c r="J5" t="str">
        <f t="shared" ref="J5:J23" si="3">PROPER(C5)</f>
        <v>Anvesh Hirve</v>
      </c>
      <c r="K5" t="str">
        <f t="shared" ref="K5:K23" si="4">_xlfn.CONCAT(C5," ",D5)</f>
        <v xml:space="preserve">Anvesh Hirve Hirve  </v>
      </c>
      <c r="L5" t="str">
        <f t="shared" ref="L5:L23" si="5">_xlfn.CONCAT(E5,"-",G5)</f>
        <v>Australia-800</v>
      </c>
    </row>
    <row r="6" spans="1:12" x14ac:dyDescent="0.3">
      <c r="A6" s="16">
        <v>46027</v>
      </c>
      <c r="B6" t="s">
        <v>68</v>
      </c>
      <c r="C6" s="17" t="str">
        <f t="shared" si="0"/>
        <v>ATLURI CHARITHA SRI</v>
      </c>
      <c r="D6" t="s">
        <v>69</v>
      </c>
      <c r="E6" t="s">
        <v>70</v>
      </c>
      <c r="F6" t="s">
        <v>14</v>
      </c>
      <c r="G6">
        <v>600</v>
      </c>
      <c r="H6" t="str">
        <f t="shared" si="1"/>
        <v>ATLURI CHARITHA SRI</v>
      </c>
      <c r="I6" t="str">
        <f t="shared" si="2"/>
        <v>atluri charitha sri</v>
      </c>
      <c r="J6" t="str">
        <f t="shared" si="3"/>
        <v>Atluri Charitha Sri</v>
      </c>
      <c r="K6" t="str">
        <f t="shared" si="4"/>
        <v>ATLURI CHARITHA SRI CHARITHA SRI</v>
      </c>
      <c r="L6" t="str">
        <f t="shared" si="5"/>
        <v>UK-600</v>
      </c>
    </row>
    <row r="7" spans="1:12" x14ac:dyDescent="0.3">
      <c r="A7" s="16">
        <v>46030</v>
      </c>
      <c r="B7" t="s">
        <v>71</v>
      </c>
      <c r="C7" s="17" t="str">
        <f t="shared" si="0"/>
        <v>B Ramakrishna</v>
      </c>
      <c r="D7" t="s">
        <v>72</v>
      </c>
      <c r="E7" t="s">
        <v>63</v>
      </c>
      <c r="F7" t="s">
        <v>14</v>
      </c>
      <c r="G7">
        <v>1500</v>
      </c>
      <c r="H7" t="str">
        <f t="shared" si="1"/>
        <v>B RAMAKRISHNA</v>
      </c>
      <c r="I7" t="str">
        <f t="shared" si="2"/>
        <v>b ramakrishna</v>
      </c>
      <c r="J7" t="str">
        <f t="shared" si="3"/>
        <v>B Ramakrishna</v>
      </c>
      <c r="K7" t="str">
        <f t="shared" si="4"/>
        <v>B Ramakrishna Ramakrishna</v>
      </c>
      <c r="L7" t="str">
        <f t="shared" si="5"/>
        <v>USA-1500</v>
      </c>
    </row>
    <row r="8" spans="1:12" x14ac:dyDescent="0.3">
      <c r="A8" s="16">
        <v>46034</v>
      </c>
      <c r="B8" t="s">
        <v>73</v>
      </c>
      <c r="C8" s="17" t="str">
        <f t="shared" si="0"/>
        <v>Bhavana Koneti</v>
      </c>
      <c r="D8" t="s">
        <v>74</v>
      </c>
      <c r="E8" t="s">
        <v>63</v>
      </c>
      <c r="F8" t="s">
        <v>14</v>
      </c>
      <c r="G8">
        <v>900</v>
      </c>
      <c r="H8" t="str">
        <f t="shared" si="1"/>
        <v>BHAVANA KONETI</v>
      </c>
      <c r="I8" t="str">
        <f t="shared" si="2"/>
        <v>bhavana koneti</v>
      </c>
      <c r="J8" t="str">
        <f t="shared" si="3"/>
        <v>Bhavana Koneti</v>
      </c>
      <c r="K8" t="str">
        <f t="shared" si="4"/>
        <v xml:space="preserve">Bhavana Koneti Koneti  </v>
      </c>
      <c r="L8" t="str">
        <f t="shared" si="5"/>
        <v>USA-900</v>
      </c>
    </row>
    <row r="9" spans="1:12" x14ac:dyDescent="0.3">
      <c r="A9" s="16">
        <v>46037</v>
      </c>
      <c r="B9" t="s">
        <v>75</v>
      </c>
      <c r="C9" s="17" t="str">
        <f t="shared" si="0"/>
        <v xml:space="preserve">	Brijesh Mali</v>
      </c>
      <c r="D9" t="s">
        <v>76</v>
      </c>
      <c r="E9" t="s">
        <v>77</v>
      </c>
      <c r="F9" t="s">
        <v>67</v>
      </c>
      <c r="G9">
        <v>700</v>
      </c>
      <c r="H9" t="str">
        <f t="shared" si="1"/>
        <v xml:space="preserve">	BRIJESH MALI</v>
      </c>
      <c r="I9" t="str">
        <f t="shared" si="2"/>
        <v xml:space="preserve">	brijesh mali</v>
      </c>
      <c r="J9" t="str">
        <f t="shared" si="3"/>
        <v xml:space="preserve">	Brijesh Mali</v>
      </c>
      <c r="K9" t="str">
        <f t="shared" si="4"/>
        <v xml:space="preserve">	Brijesh Mali Mali   </v>
      </c>
      <c r="L9" t="str">
        <f t="shared" si="5"/>
        <v>Canada-700</v>
      </c>
    </row>
    <row r="10" spans="1:12" x14ac:dyDescent="0.3">
      <c r="A10" s="16">
        <v>46042</v>
      </c>
      <c r="B10" t="s">
        <v>78</v>
      </c>
      <c r="C10" s="17" t="str">
        <f t="shared" si="0"/>
        <v>Chandana Peddapelly</v>
      </c>
      <c r="D10" t="s">
        <v>79</v>
      </c>
      <c r="E10" t="s">
        <v>66</v>
      </c>
      <c r="F10" t="s">
        <v>80</v>
      </c>
      <c r="G10">
        <v>1300</v>
      </c>
      <c r="H10" t="str">
        <f t="shared" si="1"/>
        <v>CHANDANA PEDDAPELLY</v>
      </c>
      <c r="I10" t="str">
        <f t="shared" si="2"/>
        <v>chandana peddapelly</v>
      </c>
      <c r="J10" t="str">
        <f t="shared" si="3"/>
        <v>Chandana Peddapelly</v>
      </c>
      <c r="K10" t="str">
        <f t="shared" si="4"/>
        <v>Chandana Peddapelly Peddapelly</v>
      </c>
      <c r="L10" t="str">
        <f t="shared" si="5"/>
        <v>Australia-1300</v>
      </c>
    </row>
    <row r="11" spans="1:12" x14ac:dyDescent="0.3">
      <c r="A11" s="16">
        <v>46047</v>
      </c>
      <c r="B11" t="s">
        <v>81</v>
      </c>
      <c r="C11" s="17" t="str">
        <f t="shared" si="0"/>
        <v>Dinesh Kumar Bolla</v>
      </c>
      <c r="D11" t="s">
        <v>82</v>
      </c>
      <c r="E11" t="s">
        <v>70</v>
      </c>
      <c r="F11" t="s">
        <v>67</v>
      </c>
      <c r="G11">
        <v>1100</v>
      </c>
      <c r="H11" t="str">
        <f t="shared" si="1"/>
        <v>DINESH KUMAR BOLLA</v>
      </c>
      <c r="I11" t="str">
        <f t="shared" si="2"/>
        <v>dinesh kumar bolla</v>
      </c>
      <c r="J11" t="str">
        <f t="shared" si="3"/>
        <v>Dinesh Kumar Bolla</v>
      </c>
      <c r="K11" t="str">
        <f t="shared" si="4"/>
        <v>Dinesh Kumar Bolla Bolla</v>
      </c>
      <c r="L11" t="str">
        <f t="shared" si="5"/>
        <v>UK-1100</v>
      </c>
    </row>
    <row r="12" spans="1:12" x14ac:dyDescent="0.3">
      <c r="A12" s="16">
        <v>46055</v>
      </c>
      <c r="B12" t="s">
        <v>83</v>
      </c>
      <c r="C12" s="17" t="str">
        <f t="shared" si="0"/>
        <v>J Sujay</v>
      </c>
      <c r="D12" t="s">
        <v>84</v>
      </c>
      <c r="E12" t="s">
        <v>63</v>
      </c>
      <c r="F12" t="s">
        <v>14</v>
      </c>
      <c r="G12">
        <v>750</v>
      </c>
      <c r="H12" t="str">
        <f t="shared" si="1"/>
        <v>J SUJAY</v>
      </c>
      <c r="I12" t="str">
        <f t="shared" si="2"/>
        <v>j sujay</v>
      </c>
      <c r="J12" t="str">
        <f t="shared" si="3"/>
        <v>J Sujay</v>
      </c>
      <c r="K12" t="str">
        <f t="shared" si="4"/>
        <v>J Sujay Sujay</v>
      </c>
      <c r="L12" t="str">
        <f t="shared" si="5"/>
        <v>USA-750</v>
      </c>
    </row>
    <row r="13" spans="1:12" x14ac:dyDescent="0.3">
      <c r="A13" s="16">
        <v>46058</v>
      </c>
      <c r="B13" t="s">
        <v>85</v>
      </c>
      <c r="C13" s="17" t="str">
        <f t="shared" si="0"/>
        <v>Karrola Nagaraju</v>
      </c>
      <c r="D13" t="s">
        <v>86</v>
      </c>
      <c r="E13" t="s">
        <v>77</v>
      </c>
      <c r="F13" t="s">
        <v>80</v>
      </c>
      <c r="G13">
        <v>1400</v>
      </c>
      <c r="H13" t="str">
        <f t="shared" si="1"/>
        <v>KARROLA NAGARAJU</v>
      </c>
      <c r="I13" t="str">
        <f t="shared" si="2"/>
        <v>karrola nagaraju</v>
      </c>
      <c r="J13" t="str">
        <f t="shared" si="3"/>
        <v>Karrola Nagaraju</v>
      </c>
      <c r="K13" t="str">
        <f t="shared" si="4"/>
        <v>Karrola Nagaraju Nagaraju</v>
      </c>
      <c r="L13" t="str">
        <f t="shared" si="5"/>
        <v>Canada-1400</v>
      </c>
    </row>
    <row r="14" spans="1:12" x14ac:dyDescent="0.3">
      <c r="A14" s="16">
        <v>46063</v>
      </c>
      <c r="B14" t="s">
        <v>87</v>
      </c>
      <c r="C14" s="17" t="str">
        <f t="shared" si="0"/>
        <v>Lalam Satyanarayana</v>
      </c>
      <c r="D14" t="s">
        <v>88</v>
      </c>
      <c r="E14" t="s">
        <v>63</v>
      </c>
      <c r="F14" t="s">
        <v>67</v>
      </c>
      <c r="G14">
        <v>950</v>
      </c>
      <c r="H14" t="str">
        <f t="shared" si="1"/>
        <v>LALAM SATYANARAYANA</v>
      </c>
      <c r="I14" t="str">
        <f t="shared" si="2"/>
        <v>lalam satyanarayana</v>
      </c>
      <c r="J14" t="str">
        <f t="shared" si="3"/>
        <v>Lalam Satyanarayana</v>
      </c>
      <c r="K14" t="str">
        <f t="shared" si="4"/>
        <v>Lalam Satyanarayana Satyanarayana</v>
      </c>
      <c r="L14" t="str">
        <f t="shared" si="5"/>
        <v>USA-950</v>
      </c>
    </row>
    <row r="15" spans="1:12" x14ac:dyDescent="0.3">
      <c r="A15" s="16">
        <v>46067</v>
      </c>
      <c r="B15" t="s">
        <v>89</v>
      </c>
      <c r="C15" s="17" t="str">
        <f t="shared" si="0"/>
        <v>Naveen Shivakoti</v>
      </c>
      <c r="D15" t="s">
        <v>90</v>
      </c>
      <c r="E15" t="s">
        <v>66</v>
      </c>
      <c r="F15" t="s">
        <v>14</v>
      </c>
      <c r="G15">
        <v>680</v>
      </c>
      <c r="H15" t="str">
        <f t="shared" si="1"/>
        <v>NAVEEN SHIVAKOTI</v>
      </c>
      <c r="I15" t="str">
        <f t="shared" si="2"/>
        <v>naveen shivakoti</v>
      </c>
      <c r="J15" t="str">
        <f t="shared" si="3"/>
        <v>Naveen Shivakoti</v>
      </c>
      <c r="K15" t="str">
        <f t="shared" si="4"/>
        <v>Naveen Shivakoti Shivakoti</v>
      </c>
      <c r="L15" t="str">
        <f t="shared" si="5"/>
        <v>Australia-680</v>
      </c>
    </row>
    <row r="16" spans="1:12" x14ac:dyDescent="0.3">
      <c r="A16" s="16">
        <v>46071</v>
      </c>
      <c r="B16" t="s">
        <v>91</v>
      </c>
      <c r="C16" s="17" t="str">
        <f t="shared" si="0"/>
        <v>rudra premkumar</v>
      </c>
      <c r="D16" t="s">
        <v>92</v>
      </c>
      <c r="E16" t="s">
        <v>70</v>
      </c>
      <c r="F16" t="s">
        <v>80</v>
      </c>
      <c r="G16">
        <v>1600</v>
      </c>
      <c r="H16" t="str">
        <f t="shared" si="1"/>
        <v>RUDRA PREMKUMAR</v>
      </c>
      <c r="I16" t="str">
        <f t="shared" si="2"/>
        <v>rudra premkumar</v>
      </c>
      <c r="J16" t="str">
        <f t="shared" si="3"/>
        <v>Rudra Premkumar</v>
      </c>
      <c r="K16" t="str">
        <f t="shared" si="4"/>
        <v>rudra premkumar premkumar</v>
      </c>
      <c r="L16" t="str">
        <f t="shared" si="5"/>
        <v>UK-1600</v>
      </c>
    </row>
    <row r="17" spans="1:12" x14ac:dyDescent="0.3">
      <c r="A17" s="16">
        <v>46075</v>
      </c>
      <c r="B17" t="s">
        <v>93</v>
      </c>
      <c r="C17" s="17" t="str">
        <f t="shared" si="0"/>
        <v>Samiksha Moharana</v>
      </c>
      <c r="D17" t="s">
        <v>94</v>
      </c>
      <c r="E17" t="s">
        <v>95</v>
      </c>
      <c r="F17" t="s">
        <v>67</v>
      </c>
      <c r="G17">
        <v>1000</v>
      </c>
      <c r="H17" t="str">
        <f t="shared" si="1"/>
        <v>SAMIKSHA MOHARANA</v>
      </c>
      <c r="I17" t="str">
        <f t="shared" si="2"/>
        <v>samiksha moharana</v>
      </c>
      <c r="J17" t="str">
        <f t="shared" si="3"/>
        <v>Samiksha Moharana</v>
      </c>
      <c r="K17" t="str">
        <f t="shared" si="4"/>
        <v>Samiksha Moharana Moharana</v>
      </c>
      <c r="L17" t="str">
        <f t="shared" si="5"/>
        <v>Germany-1000</v>
      </c>
    </row>
    <row r="18" spans="1:12" x14ac:dyDescent="0.3">
      <c r="A18" s="16">
        <v>46080</v>
      </c>
      <c r="B18" t="s">
        <v>96</v>
      </c>
      <c r="C18" s="17" t="str">
        <f t="shared" si="0"/>
        <v>Shivaprathap Singiri</v>
      </c>
      <c r="D18" t="s">
        <v>97</v>
      </c>
      <c r="E18" t="s">
        <v>77</v>
      </c>
      <c r="F18" t="s">
        <v>67</v>
      </c>
      <c r="G18">
        <v>720</v>
      </c>
      <c r="H18" t="str">
        <f t="shared" si="1"/>
        <v>SHIVAPRATHAP SINGIRI</v>
      </c>
      <c r="I18" t="str">
        <f t="shared" si="2"/>
        <v>shivaprathap singiri</v>
      </c>
      <c r="J18" t="str">
        <f t="shared" si="3"/>
        <v>Shivaprathap Singiri</v>
      </c>
      <c r="K18" t="str">
        <f t="shared" si="4"/>
        <v>Shivaprathap Singiri Singiri</v>
      </c>
      <c r="L18" t="str">
        <f t="shared" si="5"/>
        <v>Canada-720</v>
      </c>
    </row>
    <row r="19" spans="1:12" x14ac:dyDescent="0.3">
      <c r="A19" s="16">
        <v>46084</v>
      </c>
      <c r="B19" t="s">
        <v>98</v>
      </c>
      <c r="C19" s="17" t="str">
        <f t="shared" si="0"/>
        <v>Shriya Mechineni</v>
      </c>
      <c r="D19" t="s">
        <v>99</v>
      </c>
      <c r="E19" t="s">
        <v>63</v>
      </c>
      <c r="F19" t="s">
        <v>80</v>
      </c>
      <c r="G19">
        <v>1700</v>
      </c>
      <c r="H19" t="str">
        <f t="shared" si="1"/>
        <v>SHRIYA MECHINENI</v>
      </c>
      <c r="I19" t="str">
        <f t="shared" si="2"/>
        <v>shriya mechineni</v>
      </c>
      <c r="J19" t="str">
        <f t="shared" si="3"/>
        <v>Shriya Mechineni</v>
      </c>
      <c r="K19" t="str">
        <f t="shared" si="4"/>
        <v>Shriya Mechineni Mechineni</v>
      </c>
      <c r="L19" t="str">
        <f t="shared" si="5"/>
        <v>USA-1700</v>
      </c>
    </row>
    <row r="20" spans="1:12" x14ac:dyDescent="0.3">
      <c r="A20" s="16">
        <v>46088</v>
      </c>
      <c r="B20" t="s">
        <v>100</v>
      </c>
      <c r="C20" s="17" t="str">
        <f t="shared" si="0"/>
        <v>Siri Mandadapu</v>
      </c>
      <c r="D20" t="s">
        <v>101</v>
      </c>
      <c r="E20" t="s">
        <v>66</v>
      </c>
      <c r="F20" t="s">
        <v>67</v>
      </c>
      <c r="G20">
        <v>1050</v>
      </c>
      <c r="H20" t="str">
        <f t="shared" si="1"/>
        <v>SIRI MANDADAPU</v>
      </c>
      <c r="I20" t="str">
        <f t="shared" si="2"/>
        <v>siri mandadapu</v>
      </c>
      <c r="J20" t="str">
        <f t="shared" si="3"/>
        <v>Siri Mandadapu</v>
      </c>
      <c r="K20" t="str">
        <f t="shared" si="4"/>
        <v>Siri Mandadapu Mandadapu</v>
      </c>
      <c r="L20" t="str">
        <f t="shared" si="5"/>
        <v>Australia-1050</v>
      </c>
    </row>
    <row r="21" spans="1:12" x14ac:dyDescent="0.3">
      <c r="A21" s="16">
        <v>46093</v>
      </c>
      <c r="B21" t="s">
        <v>102</v>
      </c>
      <c r="C21" s="17" t="str">
        <f t="shared" si="0"/>
        <v>SLVSNTejaswi-kota</v>
      </c>
      <c r="D21" t="s">
        <v>103</v>
      </c>
      <c r="E21" t="s">
        <v>70</v>
      </c>
      <c r="F21" t="s">
        <v>14</v>
      </c>
      <c r="G21">
        <v>800</v>
      </c>
      <c r="H21" t="str">
        <f t="shared" si="1"/>
        <v>SLVSNTEJASWI-KOTA</v>
      </c>
      <c r="I21" t="str">
        <f t="shared" si="2"/>
        <v>slvsntejaswi-kota</v>
      </c>
      <c r="J21" t="str">
        <f t="shared" si="3"/>
        <v>Slvsntejaswi-Kota</v>
      </c>
      <c r="K21" t="str">
        <f t="shared" si="4"/>
        <v>SLVSNTejaswi-kota ejaswi-kota</v>
      </c>
      <c r="L21" t="str">
        <f t="shared" si="5"/>
        <v>UK-800</v>
      </c>
    </row>
    <row r="22" spans="1:12" x14ac:dyDescent="0.3">
      <c r="A22" s="16">
        <v>46099</v>
      </c>
      <c r="B22" t="s">
        <v>104</v>
      </c>
      <c r="C22" s="17" t="str">
        <f t="shared" si="0"/>
        <v>suma sri priya</v>
      </c>
      <c r="D22" t="s">
        <v>105</v>
      </c>
      <c r="E22" t="s">
        <v>95</v>
      </c>
      <c r="F22" t="s">
        <v>80</v>
      </c>
      <c r="G22">
        <v>1550</v>
      </c>
      <c r="H22" t="str">
        <f t="shared" si="1"/>
        <v>SUMA SRI PRIYA</v>
      </c>
      <c r="I22" t="str">
        <f t="shared" si="2"/>
        <v>suma sri priya</v>
      </c>
      <c r="J22" t="str">
        <f t="shared" si="3"/>
        <v>Suma Sri Priya</v>
      </c>
      <c r="K22" t="str">
        <f t="shared" si="4"/>
        <v>suma sri priya sri priya</v>
      </c>
      <c r="L22" t="str">
        <f t="shared" si="5"/>
        <v>Germany-1550</v>
      </c>
    </row>
    <row r="23" spans="1:12" x14ac:dyDescent="0.3">
      <c r="A23" s="18">
        <v>46103</v>
      </c>
      <c r="B23" t="s">
        <v>106</v>
      </c>
      <c r="C23" s="17" t="str">
        <f t="shared" si="0"/>
        <v>Thejaswini Padurthi</v>
      </c>
      <c r="D23" t="s">
        <v>107</v>
      </c>
      <c r="E23" s="19" t="s">
        <v>77</v>
      </c>
      <c r="F23" s="19" t="s">
        <v>67</v>
      </c>
      <c r="G23" s="19">
        <v>980</v>
      </c>
      <c r="H23" t="str">
        <f t="shared" si="1"/>
        <v>THEJASWINI PADURTHI</v>
      </c>
      <c r="I23" t="str">
        <f t="shared" si="2"/>
        <v>thejaswini padurthi</v>
      </c>
      <c r="J23" t="str">
        <f t="shared" si="3"/>
        <v>Thejaswini Padurthi</v>
      </c>
      <c r="K23" t="str">
        <f t="shared" si="4"/>
        <v>Thejaswini Padurthi Padurthi</v>
      </c>
      <c r="L23" t="str">
        <f t="shared" si="5"/>
        <v>Canada-980</v>
      </c>
    </row>
  </sheetData>
  <mergeCells count="1">
    <mergeCell ref="A2:L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86328E-B0BD-48C0-A49B-7761A1014E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Aggregated functions</vt:lpstr>
      <vt:lpstr>Date Functions</vt:lpstr>
      <vt:lpstr>Logical Functions</vt:lpstr>
      <vt:lpstr>Conditional Functions</vt:lpstr>
      <vt:lpstr>Text Functions</vt:lpstr>
      <vt:lpstr>Text Functions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 velpula</dc:creator>
  <cp:lastModifiedBy>srija velpula</cp:lastModifiedBy>
  <dcterms:created xsi:type="dcterms:W3CDTF">2026-09-15T01:51:00Z</dcterms:created>
  <dcterms:modified xsi:type="dcterms:W3CDTF">2026-09-17T03:57:19Z</dcterms:modified>
</cp:coreProperties>
</file>