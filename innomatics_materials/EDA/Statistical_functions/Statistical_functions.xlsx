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94875\Documents\Python Core_With Code_Share (1)\423\Statistical_functions\"/>
    </mc:Choice>
  </mc:AlternateContent>
  <xr:revisionPtr revIDLastSave="0" documentId="8_{33408C4B-B3D6-4845-95E6-714D8717E8E1}" xr6:coauthVersionLast="47" xr6:coauthVersionMax="47" xr10:uidLastSave="{00000000-0000-0000-0000-000000000000}"/>
  <bookViews>
    <workbookView xWindow="-120" yWindow="-120" windowWidth="20730" windowHeight="11040" xr2:uid="{875BBEF5-426C-4743-B70D-C84B59E7E9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3" i="2"/>
  <c r="AE6" i="1"/>
  <c r="AE4" i="1"/>
  <c r="AD4" i="1"/>
  <c r="AC4" i="1"/>
  <c r="AB4" i="1"/>
  <c r="AA4" i="1"/>
  <c r="Y4" i="1"/>
  <c r="U14" i="1"/>
  <c r="Z14" i="1" s="1"/>
  <c r="U15" i="1"/>
  <c r="Z15" i="1" s="1"/>
  <c r="T5" i="1"/>
  <c r="X5" i="1" s="1"/>
  <c r="T6" i="1"/>
  <c r="T7" i="1"/>
  <c r="X7" i="1" s="1"/>
  <c r="T11" i="1"/>
  <c r="X11" i="1" s="1"/>
  <c r="T12" i="1"/>
  <c r="T13" i="1"/>
  <c r="T14" i="1"/>
  <c r="V14" i="1" s="1"/>
  <c r="T15" i="1"/>
  <c r="V15" i="1" s="1"/>
  <c r="T16" i="1"/>
  <c r="V16" i="1" s="1"/>
  <c r="T17" i="1"/>
  <c r="X17" i="1" s="1"/>
  <c r="T18" i="1"/>
  <c r="T19" i="1"/>
  <c r="X19" i="1" s="1"/>
  <c r="T23" i="1"/>
  <c r="X23" i="1" s="1"/>
  <c r="T4" i="1"/>
  <c r="H13" i="1"/>
  <c r="U16" i="1" s="1"/>
  <c r="Z16" i="1" s="1"/>
  <c r="D9" i="2"/>
  <c r="D8" i="2"/>
  <c r="D7" i="2"/>
  <c r="D6" i="2"/>
  <c r="R7" i="1"/>
  <c r="R6" i="1"/>
  <c r="L13" i="1"/>
  <c r="H5" i="1"/>
  <c r="H4" i="1"/>
  <c r="T8" i="1" s="1"/>
  <c r="V12" i="1" l="1"/>
  <c r="V6" i="1"/>
  <c r="X8" i="1"/>
  <c r="V8" i="1"/>
  <c r="X18" i="1"/>
  <c r="U4" i="1"/>
  <c r="Z4" i="1" s="1"/>
  <c r="V19" i="1"/>
  <c r="X16" i="1"/>
  <c r="U10" i="1"/>
  <c r="Z10" i="1" s="1"/>
  <c r="V5" i="1"/>
  <c r="U13" i="1"/>
  <c r="Z13" i="1" s="1"/>
  <c r="X6" i="1"/>
  <c r="U11" i="1"/>
  <c r="U8" i="1"/>
  <c r="Z8" i="1" s="1"/>
  <c r="U12" i="1"/>
  <c r="Z12" i="1" s="1"/>
  <c r="U23" i="1"/>
  <c r="V7" i="1"/>
  <c r="U22" i="1"/>
  <c r="Z22" i="1" s="1"/>
  <c r="X15" i="1"/>
  <c r="U21" i="1"/>
  <c r="Z21" i="1" s="1"/>
  <c r="X14" i="1"/>
  <c r="U20" i="1"/>
  <c r="Z20" i="1" s="1"/>
  <c r="X13" i="1"/>
  <c r="U19" i="1"/>
  <c r="Z19" i="1" s="1"/>
  <c r="U7" i="1"/>
  <c r="Z7" i="1" s="1"/>
  <c r="X4" i="1"/>
  <c r="X12" i="1"/>
  <c r="T22" i="1"/>
  <c r="T10" i="1"/>
  <c r="U18" i="1"/>
  <c r="Z18" i="1" s="1"/>
  <c r="U6" i="1"/>
  <c r="Z6" i="1" s="1"/>
  <c r="T21" i="1"/>
  <c r="T9" i="1"/>
  <c r="U17" i="1"/>
  <c r="Z17" i="1" s="1"/>
  <c r="U5" i="1"/>
  <c r="Z5" i="1" s="1"/>
  <c r="U9" i="1"/>
  <c r="Z9" i="1" s="1"/>
  <c r="T20" i="1"/>
  <c r="N14" i="1"/>
  <c r="O14" i="1" s="1"/>
  <c r="N12" i="1"/>
  <c r="O12" i="1" s="1"/>
  <c r="N23" i="1"/>
  <c r="O23" i="1" s="1"/>
  <c r="N11" i="1"/>
  <c r="O11" i="1" s="1"/>
  <c r="N22" i="1"/>
  <c r="O22" i="1" s="1"/>
  <c r="N10" i="1"/>
  <c r="O10" i="1" s="1"/>
  <c r="N9" i="1"/>
  <c r="O9" i="1" s="1"/>
  <c r="N20" i="1"/>
  <c r="O20" i="1" s="1"/>
  <c r="N8" i="1"/>
  <c r="O8" i="1" s="1"/>
  <c r="N19" i="1"/>
  <c r="O19" i="1" s="1"/>
  <c r="N18" i="1"/>
  <c r="O18" i="1" s="1"/>
  <c r="N5" i="1"/>
  <c r="O5" i="1" s="1"/>
  <c r="N17" i="1"/>
  <c r="O17" i="1" s="1"/>
  <c r="N4" i="1"/>
  <c r="O4" i="1" s="1"/>
  <c r="N21" i="1"/>
  <c r="O21" i="1" s="1"/>
  <c r="N7" i="1"/>
  <c r="O7" i="1" s="1"/>
  <c r="N16" i="1"/>
  <c r="O16" i="1" s="1"/>
  <c r="N6" i="1"/>
  <c r="O6" i="1" s="1"/>
  <c r="N15" i="1"/>
  <c r="O15" i="1" s="1"/>
  <c r="N13" i="1"/>
  <c r="O13" i="1" s="1"/>
  <c r="X9" i="1" l="1"/>
  <c r="V9" i="1"/>
  <c r="X21" i="1"/>
  <c r="V21" i="1"/>
  <c r="X10" i="1"/>
  <c r="V10" i="1"/>
  <c r="X22" i="1"/>
  <c r="V22" i="1"/>
  <c r="V17" i="1"/>
  <c r="V11" i="1"/>
  <c r="Z11" i="1"/>
  <c r="V4" i="1"/>
  <c r="W4" i="1" s="1"/>
  <c r="Z23" i="1"/>
  <c r="V23" i="1"/>
  <c r="V20" i="1"/>
  <c r="X20" i="1"/>
  <c r="V18" i="1"/>
  <c r="V13" i="1"/>
  <c r="P4" i="1"/>
  <c r="R4" i="1" s="1"/>
  <c r="S4" i="1" s="1"/>
  <c r="H10" i="1" l="1"/>
  <c r="H11" i="1"/>
</calcChain>
</file>

<file path=xl/sharedStrings.xml><?xml version="1.0" encoding="utf-8"?>
<sst xmlns="http://schemas.openxmlformats.org/spreadsheetml/2006/main" count="58" uniqueCount="52">
  <si>
    <t>Students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</si>
  <si>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</si>
  <si>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</si>
  <si>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</si>
  <si>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</si>
  <si>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</si>
  <si>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</si>
  <si>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</si>
  <si>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</si>
  <si>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</si>
  <si>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</si>
  <si>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</si>
  <si>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</si>
  <si>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</si>
  <si>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</si>
  <si>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</si>
  <si>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</si>
  <si>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</si>
  <si>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</si>
  <si>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</si>
  <si>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</si>
  <si>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Maths</t>
  </si>
  <si>
    <t>mean</t>
  </si>
  <si>
    <t>median</t>
  </si>
  <si>
    <t>stddev</t>
  </si>
  <si>
    <t>var</t>
  </si>
  <si>
    <t>sorted marks</t>
  </si>
  <si>
    <t>deviation</t>
  </si>
  <si>
    <t>squaring the deviation</t>
  </si>
  <si>
    <t>Sum</t>
  </si>
  <si>
    <t>N-&gt; no of values</t>
  </si>
  <si>
    <t>variance</t>
  </si>
  <si>
    <t>var in excel</t>
  </si>
  <si>
    <t>Stddev</t>
  </si>
  <si>
    <t>stddev in excel</t>
  </si>
  <si>
    <t>range</t>
  </si>
  <si>
    <t>Science</t>
  </si>
  <si>
    <t>sc.mean</t>
  </si>
  <si>
    <t>x-avg(x)</t>
  </si>
  <si>
    <t>y-avg(y)</t>
  </si>
  <si>
    <t>x-avg(x)*y-avg(y)</t>
  </si>
  <si>
    <t>sum</t>
  </si>
  <si>
    <t>x-avg(x)^2</t>
  </si>
  <si>
    <t>y-avg(y)^2</t>
  </si>
  <si>
    <t>sqrt sum x</t>
  </si>
  <si>
    <t>sqrt sum y</t>
  </si>
  <si>
    <t>sqrt sum x *sqrt sum y</t>
  </si>
  <si>
    <t>Denominator</t>
  </si>
  <si>
    <t>numerator</t>
  </si>
  <si>
    <t>Correlation</t>
  </si>
  <si>
    <t>Correlation in excel</t>
  </si>
  <si>
    <t>correltion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</si>
</sst>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6E5C-4580-4759-803B-BEFDCF78DB54}">
  <dimension ref="C2:AE23"/>
  <sheetViews>
    <sheetView tabSelected="1" topLeftCell="D1" workbookViewId="0">
      <selection activeCell="R6" sqref="R6"/>
    </sheetView>
  </sheetViews>
  <sheetFormatPr defaultRowHeight="15" x14ac:dyDescent="0.25"/>
  <cols>
    <col min="11" max="11" width="12.5703125" bestFit="1" customWidth="1"/>
    <col min="12" max="12" width="5" bestFit="1" customWidth="1"/>
    <col min="13" max="13" width="0" hidden="1" customWidth="1"/>
    <col min="14" max="14" width="9.140625" bestFit="1" customWidth="1"/>
    <col min="15" max="15" width="20.85546875" bestFit="1" customWidth="1"/>
    <col min="16" max="16" width="7" bestFit="1" customWidth="1"/>
    <col min="17" max="17" width="15.28515625" bestFit="1" customWidth="1"/>
    <col min="18" max="19" width="12" bestFit="1" customWidth="1"/>
    <col min="20" max="20" width="7.85546875" bestFit="1" customWidth="1"/>
    <col min="22" max="22" width="15.85546875" bestFit="1" customWidth="1"/>
    <col min="28" max="29" width="10" bestFit="1" customWidth="1"/>
    <col min="30" max="30" width="20.7109375" bestFit="1" customWidth="1"/>
  </cols>
  <sheetData>
    <row r="2" spans="3:31" x14ac:dyDescent="0.25">
      <c r="W2" t="s">
        <v>48</v>
      </c>
      <c r="AD2" t="s">
        <v>47</v>
      </c>
    </row>
    <row r="3" spans="3:31" x14ac:dyDescent="0.25">
      <c r="C3" t="s">
        <v>0</v>
      </c>
      <c r="D3" t="s">
        <v>21</v>
      </c>
      <c r="E3" t="s">
        <v>36</v>
      </c>
      <c r="K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33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41</v>
      </c>
      <c r="Z3" t="s">
        <v>43</v>
      </c>
      <c r="AA3" t="s">
        <v>41</v>
      </c>
      <c r="AB3" t="s">
        <v>44</v>
      </c>
      <c r="AC3" t="s">
        <v>45</v>
      </c>
      <c r="AD3" t="s">
        <v>46</v>
      </c>
      <c r="AE3" t="s">
        <v>49</v>
      </c>
    </row>
    <row r="4" spans="3:31" x14ac:dyDescent="0.25">
      <c r="C4" t="s">
        <v>1</v>
      </c>
      <c r="D4">
        <v>73</v>
      </c>
      <c r="E4">
        <v>66</v>
      </c>
      <c r="G4" t="s">
        <v>22</v>
      </c>
      <c r="H4">
        <f>AVERAGE(D4:D23)</f>
        <v>62.8</v>
      </c>
      <c r="K4">
        <v>35</v>
      </c>
      <c r="N4">
        <f>D4-$H$4</f>
        <v>10.200000000000003</v>
      </c>
      <c r="O4">
        <f>N4^2</f>
        <v>104.04000000000006</v>
      </c>
      <c r="P4">
        <f>SUM(O4:O23)</f>
        <v>5733.2000000000007</v>
      </c>
      <c r="Q4">
        <v>20</v>
      </c>
      <c r="R4">
        <f>P4/Q4</f>
        <v>286.66000000000003</v>
      </c>
      <c r="S4">
        <f>SQRT(R4)</f>
        <v>16.93103658964802</v>
      </c>
      <c r="T4">
        <f>D4-$H$4</f>
        <v>10.200000000000003</v>
      </c>
      <c r="U4">
        <f>E4-$H$13</f>
        <v>2.25</v>
      </c>
      <c r="V4">
        <f>T4*U4</f>
        <v>22.950000000000006</v>
      </c>
      <c r="W4">
        <f>SUM(V4:V23)</f>
        <v>1703.0000000000002</v>
      </c>
      <c r="X4">
        <f>T4^2</f>
        <v>104.04000000000006</v>
      </c>
      <c r="Y4">
        <f>SUM(X4:X23)</f>
        <v>5733.2000000000007</v>
      </c>
      <c r="Z4">
        <f>U4^2</f>
        <v>5.0625</v>
      </c>
      <c r="AA4">
        <f>SUM(Z4:Z23)</f>
        <v>7007.75</v>
      </c>
      <c r="AB4">
        <f>SQRT(Y4)</f>
        <v>75.717897487978362</v>
      </c>
      <c r="AC4">
        <f>SQRT(AA4)</f>
        <v>83.712304949750362</v>
      </c>
      <c r="AD4">
        <f>AB4*AC4</f>
        <v>6338.5197246675816</v>
      </c>
      <c r="AE4">
        <f>W4/AD4</f>
        <v>0.26867471806902243</v>
      </c>
    </row>
    <row r="5" spans="3:31" x14ac:dyDescent="0.25">
      <c r="C5" t="s">
        <v>2</v>
      </c>
      <c r="D5">
        <v>65</v>
      </c>
      <c r="E5">
        <v>90</v>
      </c>
      <c r="G5" t="s">
        <v>23</v>
      </c>
      <c r="H5">
        <f>MEDIAN(D4:D23)</f>
        <v>64.5</v>
      </c>
      <c r="K5">
        <v>37</v>
      </c>
      <c r="N5">
        <f>D5-$H$4</f>
        <v>2.2000000000000028</v>
      </c>
      <c r="O5">
        <f t="shared" ref="O5:O23" si="0">N5^2</f>
        <v>4.8400000000000123</v>
      </c>
      <c r="T5">
        <f t="shared" ref="T5:T23" si="1">D5-$H$4</f>
        <v>2.2000000000000028</v>
      </c>
      <c r="U5">
        <f t="shared" ref="U5:U23" si="2">E5-$H$13</f>
        <v>26.25</v>
      </c>
      <c r="V5">
        <f t="shared" ref="V5:V23" si="3">T5*U5</f>
        <v>57.750000000000071</v>
      </c>
      <c r="X5">
        <f t="shared" ref="X5:X23" si="4">T5^2</f>
        <v>4.8400000000000123</v>
      </c>
      <c r="Z5">
        <f t="shared" ref="Z5:Z23" si="5">U5^2</f>
        <v>689.0625</v>
      </c>
    </row>
    <row r="6" spans="3:31" x14ac:dyDescent="0.25">
      <c r="C6" t="s">
        <v>3</v>
      </c>
      <c r="D6">
        <v>42</v>
      </c>
      <c r="E6">
        <v>34</v>
      </c>
      <c r="G6" t="s">
        <v>25</v>
      </c>
      <c r="K6">
        <v>39</v>
      </c>
      <c r="N6">
        <f>D6-$H$4</f>
        <v>-20.799999999999997</v>
      </c>
      <c r="O6">
        <f t="shared" si="0"/>
        <v>432.63999999999987</v>
      </c>
      <c r="Q6" t="s">
        <v>32</v>
      </c>
      <c r="R6">
        <f>_xlfn.VAR.P(D4:D23)</f>
        <v>286.66000000000003</v>
      </c>
      <c r="T6">
        <f t="shared" si="1"/>
        <v>-20.799999999999997</v>
      </c>
      <c r="U6">
        <f t="shared" si="2"/>
        <v>-29.75</v>
      </c>
      <c r="V6">
        <f t="shared" si="3"/>
        <v>618.79999999999995</v>
      </c>
      <c r="X6">
        <f t="shared" si="4"/>
        <v>432.63999999999987</v>
      </c>
      <c r="Z6">
        <f t="shared" si="5"/>
        <v>885.0625</v>
      </c>
      <c r="AD6" t="s">
        <v>50</v>
      </c>
      <c r="AE6">
        <f>PEARSON(D4:D23,E4:E23)</f>
        <v>0.26867471806902238</v>
      </c>
    </row>
    <row r="7" spans="3:31" x14ac:dyDescent="0.25">
      <c r="C7" t="s">
        <v>4</v>
      </c>
      <c r="D7">
        <v>77</v>
      </c>
      <c r="E7">
        <v>84</v>
      </c>
      <c r="G7" t="s">
        <v>24</v>
      </c>
      <c r="K7">
        <v>42</v>
      </c>
      <c r="N7">
        <f>D7-$H$4</f>
        <v>14.200000000000003</v>
      </c>
      <c r="O7">
        <f t="shared" si="0"/>
        <v>201.64000000000007</v>
      </c>
      <c r="Q7" t="s">
        <v>34</v>
      </c>
      <c r="R7">
        <f>_xlfn.STDEV.P(D4:D23)</f>
        <v>16.93103658964802</v>
      </c>
      <c r="T7">
        <f t="shared" si="1"/>
        <v>14.200000000000003</v>
      </c>
      <c r="U7">
        <f t="shared" si="2"/>
        <v>20.25</v>
      </c>
      <c r="V7">
        <f t="shared" si="3"/>
        <v>287.55000000000007</v>
      </c>
      <c r="X7">
        <f t="shared" si="4"/>
        <v>201.64000000000007</v>
      </c>
      <c r="Z7">
        <f t="shared" si="5"/>
        <v>410.0625</v>
      </c>
    </row>
    <row r="8" spans="3:31" x14ac:dyDescent="0.25">
      <c r="C8" t="s">
        <v>5</v>
      </c>
      <c r="D8">
        <v>84</v>
      </c>
      <c r="E8">
        <v>76</v>
      </c>
      <c r="K8">
        <v>45</v>
      </c>
      <c r="N8">
        <f>D8-$H$4</f>
        <v>21.200000000000003</v>
      </c>
      <c r="O8">
        <f t="shared" si="0"/>
        <v>449.44000000000011</v>
      </c>
      <c r="T8">
        <f t="shared" si="1"/>
        <v>21.200000000000003</v>
      </c>
      <c r="U8">
        <f t="shared" si="2"/>
        <v>12.25</v>
      </c>
      <c r="V8">
        <f t="shared" si="3"/>
        <v>259.70000000000005</v>
      </c>
      <c r="X8">
        <f t="shared" si="4"/>
        <v>449.44000000000011</v>
      </c>
      <c r="Z8">
        <f t="shared" si="5"/>
        <v>150.0625</v>
      </c>
    </row>
    <row r="9" spans="3:31" x14ac:dyDescent="0.25">
      <c r="C9" t="s">
        <v>6</v>
      </c>
      <c r="D9">
        <v>35</v>
      </c>
      <c r="E9">
        <v>57</v>
      </c>
      <c r="K9">
        <v>49</v>
      </c>
      <c r="N9">
        <f>D9-$H$4</f>
        <v>-27.799999999999997</v>
      </c>
      <c r="O9">
        <f t="shared" si="0"/>
        <v>772.8399999999998</v>
      </c>
      <c r="T9">
        <f t="shared" si="1"/>
        <v>-27.799999999999997</v>
      </c>
      <c r="U9">
        <f t="shared" si="2"/>
        <v>-6.75</v>
      </c>
      <c r="V9">
        <f t="shared" si="3"/>
        <v>187.64999999999998</v>
      </c>
      <c r="X9">
        <f t="shared" si="4"/>
        <v>772.8399999999998</v>
      </c>
      <c r="Z9">
        <f t="shared" si="5"/>
        <v>45.5625</v>
      </c>
    </row>
    <row r="10" spans="3:31" x14ac:dyDescent="0.25">
      <c r="C10" t="s">
        <v>7</v>
      </c>
      <c r="D10">
        <v>60</v>
      </c>
      <c r="E10">
        <v>40</v>
      </c>
      <c r="G10" t="s">
        <v>35</v>
      </c>
      <c r="H10">
        <f>H4-S4</f>
        <v>45.868963410351981</v>
      </c>
      <c r="K10">
        <v>56</v>
      </c>
      <c r="N10">
        <f>D10-$H$4</f>
        <v>-2.7999999999999972</v>
      </c>
      <c r="O10">
        <f t="shared" si="0"/>
        <v>7.8399999999999839</v>
      </c>
      <c r="T10">
        <f t="shared" si="1"/>
        <v>-2.7999999999999972</v>
      </c>
      <c r="U10">
        <f t="shared" si="2"/>
        <v>-23.75</v>
      </c>
      <c r="V10">
        <f t="shared" si="3"/>
        <v>66.499999999999929</v>
      </c>
      <c r="X10">
        <f t="shared" si="4"/>
        <v>7.8399999999999839</v>
      </c>
      <c r="Z10">
        <f t="shared" si="5"/>
        <v>564.0625</v>
      </c>
    </row>
    <row r="11" spans="3:31" x14ac:dyDescent="0.25">
      <c r="C11" t="s">
        <v>8</v>
      </c>
      <c r="D11">
        <v>91</v>
      </c>
      <c r="E11">
        <v>49</v>
      </c>
      <c r="H11">
        <f>H4+S4</f>
        <v>79.731036589648014</v>
      </c>
      <c r="K11">
        <v>60</v>
      </c>
      <c r="N11">
        <f>D11-$H$4</f>
        <v>28.200000000000003</v>
      </c>
      <c r="O11">
        <f t="shared" si="0"/>
        <v>795.24000000000012</v>
      </c>
      <c r="T11">
        <f t="shared" si="1"/>
        <v>28.200000000000003</v>
      </c>
      <c r="U11">
        <f t="shared" si="2"/>
        <v>-14.75</v>
      </c>
      <c r="V11">
        <f t="shared" si="3"/>
        <v>-415.95000000000005</v>
      </c>
      <c r="X11">
        <f t="shared" si="4"/>
        <v>795.24000000000012</v>
      </c>
      <c r="Z11">
        <f t="shared" si="5"/>
        <v>217.5625</v>
      </c>
    </row>
    <row r="12" spans="3:31" x14ac:dyDescent="0.25">
      <c r="C12" t="s">
        <v>9</v>
      </c>
      <c r="D12">
        <v>60</v>
      </c>
      <c r="E12">
        <v>75</v>
      </c>
      <c r="K12">
        <v>60</v>
      </c>
      <c r="N12">
        <f>D12-$H$4</f>
        <v>-2.7999999999999972</v>
      </c>
      <c r="O12">
        <f t="shared" si="0"/>
        <v>7.8399999999999839</v>
      </c>
      <c r="T12">
        <f t="shared" si="1"/>
        <v>-2.7999999999999972</v>
      </c>
      <c r="U12">
        <f t="shared" si="2"/>
        <v>11.25</v>
      </c>
      <c r="V12">
        <f t="shared" si="3"/>
        <v>-31.499999999999968</v>
      </c>
      <c r="X12">
        <f t="shared" si="4"/>
        <v>7.8399999999999839</v>
      </c>
      <c r="Z12">
        <f t="shared" si="5"/>
        <v>126.5625</v>
      </c>
    </row>
    <row r="13" spans="3:31" x14ac:dyDescent="0.25">
      <c r="C13" t="s">
        <v>10</v>
      </c>
      <c r="D13">
        <v>64</v>
      </c>
      <c r="E13">
        <v>77</v>
      </c>
      <c r="G13" t="s">
        <v>37</v>
      </c>
      <c r="H13">
        <f>AVERAGE(E4:E23)</f>
        <v>63.75</v>
      </c>
      <c r="K13">
        <v>64</v>
      </c>
      <c r="L13">
        <f>(K13+K14)/2</f>
        <v>64.5</v>
      </c>
      <c r="N13">
        <f>D13-$H$4</f>
        <v>1.2000000000000028</v>
      </c>
      <c r="O13">
        <f t="shared" si="0"/>
        <v>1.4400000000000068</v>
      </c>
      <c r="T13">
        <f t="shared" si="1"/>
        <v>1.2000000000000028</v>
      </c>
      <c r="U13">
        <f t="shared" si="2"/>
        <v>13.25</v>
      </c>
      <c r="V13">
        <f t="shared" si="3"/>
        <v>15.900000000000038</v>
      </c>
      <c r="X13">
        <f t="shared" si="4"/>
        <v>1.4400000000000068</v>
      </c>
      <c r="Z13">
        <f t="shared" si="5"/>
        <v>175.5625</v>
      </c>
    </row>
    <row r="14" spans="3:31" x14ac:dyDescent="0.25">
      <c r="C14" t="s">
        <v>11</v>
      </c>
      <c r="D14">
        <v>37</v>
      </c>
      <c r="E14">
        <v>79</v>
      </c>
      <c r="K14">
        <v>65</v>
      </c>
      <c r="N14">
        <f>D14-$H$4</f>
        <v>-25.799999999999997</v>
      </c>
      <c r="O14">
        <f t="shared" si="0"/>
        <v>665.63999999999987</v>
      </c>
      <c r="T14">
        <f t="shared" si="1"/>
        <v>-25.799999999999997</v>
      </c>
      <c r="U14">
        <f t="shared" si="2"/>
        <v>15.25</v>
      </c>
      <c r="V14">
        <f t="shared" si="3"/>
        <v>-393.44999999999993</v>
      </c>
      <c r="X14">
        <f t="shared" si="4"/>
        <v>665.63999999999987</v>
      </c>
      <c r="Z14">
        <f t="shared" si="5"/>
        <v>232.5625</v>
      </c>
    </row>
    <row r="15" spans="3:31" x14ac:dyDescent="0.25">
      <c r="C15" t="s">
        <v>12</v>
      </c>
      <c r="D15">
        <v>39</v>
      </c>
      <c r="E15">
        <v>35</v>
      </c>
      <c r="K15">
        <v>65</v>
      </c>
      <c r="N15">
        <f>D15-$H$4</f>
        <v>-23.799999999999997</v>
      </c>
      <c r="O15">
        <f t="shared" si="0"/>
        <v>566.43999999999983</v>
      </c>
      <c r="T15">
        <f t="shared" si="1"/>
        <v>-23.799999999999997</v>
      </c>
      <c r="U15">
        <f t="shared" si="2"/>
        <v>-28.75</v>
      </c>
      <c r="V15">
        <f t="shared" si="3"/>
        <v>684.24999999999989</v>
      </c>
      <c r="X15">
        <f t="shared" si="4"/>
        <v>566.43999999999983</v>
      </c>
      <c r="Z15">
        <f t="shared" si="5"/>
        <v>826.5625</v>
      </c>
    </row>
    <row r="16" spans="3:31" x14ac:dyDescent="0.25">
      <c r="C16" t="s">
        <v>13</v>
      </c>
      <c r="D16">
        <v>56</v>
      </c>
      <c r="E16">
        <v>32</v>
      </c>
      <c r="K16">
        <v>71</v>
      </c>
      <c r="N16">
        <f>D16-$H$4</f>
        <v>-6.7999999999999972</v>
      </c>
      <c r="O16">
        <f t="shared" si="0"/>
        <v>46.239999999999959</v>
      </c>
      <c r="T16">
        <f t="shared" si="1"/>
        <v>-6.7999999999999972</v>
      </c>
      <c r="U16">
        <f t="shared" si="2"/>
        <v>-31.75</v>
      </c>
      <c r="V16">
        <f t="shared" si="3"/>
        <v>215.89999999999992</v>
      </c>
      <c r="X16">
        <f t="shared" si="4"/>
        <v>46.239999999999959</v>
      </c>
      <c r="Z16">
        <f t="shared" si="5"/>
        <v>1008.0625</v>
      </c>
    </row>
    <row r="17" spans="3:26" x14ac:dyDescent="0.25">
      <c r="C17" t="s">
        <v>14</v>
      </c>
      <c r="D17">
        <v>45</v>
      </c>
      <c r="E17">
        <v>64</v>
      </c>
      <c r="K17">
        <v>73</v>
      </c>
      <c r="N17">
        <f>D17-$H$4</f>
        <v>-17.799999999999997</v>
      </c>
      <c r="O17">
        <f t="shared" si="0"/>
        <v>316.83999999999992</v>
      </c>
      <c r="T17">
        <f t="shared" si="1"/>
        <v>-17.799999999999997</v>
      </c>
      <c r="U17">
        <f t="shared" si="2"/>
        <v>0.25</v>
      </c>
      <c r="V17">
        <f t="shared" si="3"/>
        <v>-4.4499999999999993</v>
      </c>
      <c r="X17">
        <f t="shared" si="4"/>
        <v>316.83999999999992</v>
      </c>
      <c r="Z17">
        <f t="shared" si="5"/>
        <v>6.25E-2</v>
      </c>
    </row>
    <row r="18" spans="3:26" x14ac:dyDescent="0.25">
      <c r="C18" t="s">
        <v>15</v>
      </c>
      <c r="D18">
        <v>71</v>
      </c>
      <c r="E18">
        <v>40</v>
      </c>
      <c r="K18">
        <v>75</v>
      </c>
      <c r="N18">
        <f>D18-$H$4</f>
        <v>8.2000000000000028</v>
      </c>
      <c r="O18">
        <f t="shared" si="0"/>
        <v>67.240000000000052</v>
      </c>
      <c r="T18">
        <f t="shared" si="1"/>
        <v>8.2000000000000028</v>
      </c>
      <c r="U18">
        <f t="shared" si="2"/>
        <v>-23.75</v>
      </c>
      <c r="V18">
        <f t="shared" si="3"/>
        <v>-194.75000000000006</v>
      </c>
      <c r="X18">
        <f t="shared" si="4"/>
        <v>67.240000000000052</v>
      </c>
      <c r="Z18">
        <f t="shared" si="5"/>
        <v>564.0625</v>
      </c>
    </row>
    <row r="19" spans="3:26" x14ac:dyDescent="0.25">
      <c r="C19" t="s">
        <v>16</v>
      </c>
      <c r="D19">
        <v>89</v>
      </c>
      <c r="E19">
        <v>77</v>
      </c>
      <c r="K19">
        <v>77</v>
      </c>
      <c r="N19">
        <f>D19-$H$4</f>
        <v>26.200000000000003</v>
      </c>
      <c r="O19">
        <f t="shared" si="0"/>
        <v>686.44000000000017</v>
      </c>
      <c r="T19">
        <f t="shared" si="1"/>
        <v>26.200000000000003</v>
      </c>
      <c r="U19">
        <f t="shared" si="2"/>
        <v>13.25</v>
      </c>
      <c r="V19">
        <f t="shared" si="3"/>
        <v>347.15000000000003</v>
      </c>
      <c r="X19">
        <f t="shared" si="4"/>
        <v>686.44000000000017</v>
      </c>
      <c r="Z19">
        <f t="shared" si="5"/>
        <v>175.5625</v>
      </c>
    </row>
    <row r="20" spans="3:26" x14ac:dyDescent="0.25">
      <c r="C20" t="s">
        <v>17</v>
      </c>
      <c r="D20">
        <v>49</v>
      </c>
      <c r="E20">
        <v>87</v>
      </c>
      <c r="K20">
        <v>79</v>
      </c>
      <c r="N20">
        <f>D20-$H$4</f>
        <v>-13.799999999999997</v>
      </c>
      <c r="O20">
        <f t="shared" si="0"/>
        <v>190.43999999999991</v>
      </c>
      <c r="T20">
        <f t="shared" si="1"/>
        <v>-13.799999999999997</v>
      </c>
      <c r="U20">
        <f t="shared" si="2"/>
        <v>23.25</v>
      </c>
      <c r="V20">
        <f t="shared" si="3"/>
        <v>-320.84999999999991</v>
      </c>
      <c r="X20">
        <f t="shared" si="4"/>
        <v>190.43999999999991</v>
      </c>
      <c r="Z20">
        <f t="shared" si="5"/>
        <v>540.5625</v>
      </c>
    </row>
    <row r="21" spans="3:26" x14ac:dyDescent="0.25">
      <c r="C21" t="s">
        <v>18</v>
      </c>
      <c r="D21">
        <v>75</v>
      </c>
      <c r="E21">
        <v>83</v>
      </c>
      <c r="K21">
        <v>84</v>
      </c>
      <c r="N21">
        <f>D21-$H$4</f>
        <v>12.200000000000003</v>
      </c>
      <c r="O21">
        <f t="shared" si="0"/>
        <v>148.84000000000006</v>
      </c>
      <c r="T21">
        <f t="shared" si="1"/>
        <v>12.200000000000003</v>
      </c>
      <c r="U21">
        <f t="shared" si="2"/>
        <v>19.25</v>
      </c>
      <c r="V21">
        <f t="shared" si="3"/>
        <v>234.85000000000005</v>
      </c>
      <c r="X21">
        <f t="shared" si="4"/>
        <v>148.84000000000006</v>
      </c>
      <c r="Z21">
        <f t="shared" si="5"/>
        <v>370.5625</v>
      </c>
    </row>
    <row r="22" spans="3:26" x14ac:dyDescent="0.25">
      <c r="C22" t="s">
        <v>19</v>
      </c>
      <c r="D22">
        <v>65</v>
      </c>
      <c r="E22">
        <v>62</v>
      </c>
      <c r="K22">
        <v>89</v>
      </c>
      <c r="N22">
        <f>D22-$H$4</f>
        <v>2.2000000000000028</v>
      </c>
      <c r="O22">
        <f t="shared" si="0"/>
        <v>4.8400000000000123</v>
      </c>
      <c r="T22">
        <f t="shared" si="1"/>
        <v>2.2000000000000028</v>
      </c>
      <c r="U22">
        <f t="shared" si="2"/>
        <v>-1.75</v>
      </c>
      <c r="V22">
        <f t="shared" si="3"/>
        <v>-3.850000000000005</v>
      </c>
      <c r="X22">
        <f t="shared" si="4"/>
        <v>4.8400000000000123</v>
      </c>
      <c r="Z22">
        <f t="shared" si="5"/>
        <v>3.0625</v>
      </c>
    </row>
    <row r="23" spans="3:26" x14ac:dyDescent="0.25">
      <c r="C23" t="s">
        <v>20</v>
      </c>
      <c r="D23">
        <v>79</v>
      </c>
      <c r="E23">
        <v>68</v>
      </c>
      <c r="K23">
        <v>91</v>
      </c>
      <c r="N23">
        <f>D23-$H$4</f>
        <v>16.200000000000003</v>
      </c>
      <c r="O23">
        <f t="shared" si="0"/>
        <v>262.44000000000011</v>
      </c>
      <c r="T23">
        <f t="shared" si="1"/>
        <v>16.200000000000003</v>
      </c>
      <c r="U23">
        <f t="shared" si="2"/>
        <v>4.25</v>
      </c>
      <c r="V23">
        <f t="shared" si="3"/>
        <v>68.850000000000009</v>
      </c>
      <c r="X23">
        <f t="shared" si="4"/>
        <v>262.44000000000011</v>
      </c>
      <c r="Z23">
        <f t="shared" si="5"/>
        <v>18.0625</v>
      </c>
    </row>
  </sheetData>
  <sortState xmlns:xlrd2="http://schemas.microsoft.com/office/spreadsheetml/2017/richdata2" ref="K4:K23">
    <sortCondition ref="K4:K23"/>
  </sortState>
  <phoneticPr fontId="1" type="noConversion"/>
  <pageMargins left="0.7" right="0.7" top="0.75" bottom="0.75" header="0.3" footer="0.3"/>
  <pageSetup orientation="portrait" r:id="rId1"/>
  <headerFooter>
    <oddHeader>&amp;L&amp;"Calibri"&amp;11&amp;KFFCD1A INTERNAL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BC46-ED5F-46CD-91A0-111624E14EF3}">
  <dimension ref="B4:M15"/>
  <sheetViews>
    <sheetView workbookViewId="0">
      <selection activeCell="C15" sqref="C15"/>
    </sheetView>
  </sheetViews>
  <sheetFormatPr defaultRowHeight="15" x14ac:dyDescent="0.25"/>
  <cols>
    <col min="3" max="3" width="10.5703125" bestFit="1" customWidth="1"/>
  </cols>
  <sheetData>
    <row r="4" spans="2:13" x14ac:dyDescent="0.25">
      <c r="D4" s="1">
        <v>47</v>
      </c>
      <c r="E4">
        <v>56</v>
      </c>
      <c r="F4">
        <v>62</v>
      </c>
      <c r="G4">
        <v>77</v>
      </c>
      <c r="H4">
        <v>84</v>
      </c>
      <c r="I4">
        <v>54</v>
      </c>
      <c r="J4">
        <v>57</v>
      </c>
      <c r="K4">
        <v>65</v>
      </c>
      <c r="L4">
        <v>74</v>
      </c>
      <c r="M4">
        <v>70</v>
      </c>
    </row>
    <row r="6" spans="2:13" x14ac:dyDescent="0.25">
      <c r="C6" t="s">
        <v>22</v>
      </c>
      <c r="D6">
        <f>AVERAGE(D4:M4)</f>
        <v>64.599999999999994</v>
      </c>
    </row>
    <row r="7" spans="2:13" x14ac:dyDescent="0.25">
      <c r="C7" t="s">
        <v>23</v>
      </c>
      <c r="D7">
        <f>MEDIAN(D4:M4)</f>
        <v>63.5</v>
      </c>
    </row>
    <row r="8" spans="2:13" x14ac:dyDescent="0.25">
      <c r="C8" t="s">
        <v>25</v>
      </c>
      <c r="D8">
        <f>_xlfn.VAR.P(D4:M4)</f>
        <v>120.84</v>
      </c>
    </row>
    <row r="9" spans="2:13" x14ac:dyDescent="0.25">
      <c r="C9" t="s">
        <v>24</v>
      </c>
      <c r="D9">
        <f>_xlfn.STDEV.P(D4:M4)</f>
        <v>10.992724866929036</v>
      </c>
    </row>
    <row r="11" spans="2:13" x14ac:dyDescent="0.25">
      <c r="D11" s="1">
        <v>34</v>
      </c>
      <c r="E11">
        <v>61</v>
      </c>
      <c r="F11">
        <v>37</v>
      </c>
      <c r="G11">
        <v>69</v>
      </c>
      <c r="H11">
        <v>90</v>
      </c>
      <c r="I11">
        <v>63</v>
      </c>
      <c r="J11">
        <v>49</v>
      </c>
      <c r="K11">
        <v>32</v>
      </c>
      <c r="L11">
        <v>99</v>
      </c>
      <c r="M11">
        <v>94</v>
      </c>
    </row>
    <row r="13" spans="2:13" x14ac:dyDescent="0.25">
      <c r="B13" t="s">
        <v>51</v>
      </c>
      <c r="C13" s="2">
        <f>PEARSON(D4:M4,D11:M11)</f>
        <v>0.68328389259469635</v>
      </c>
    </row>
    <row r="15" spans="2:13" x14ac:dyDescent="0.25">
      <c r="C15">
        <f>PEARSON(D11:M11,D4:M4)</f>
        <v>0.68328389259469635</v>
      </c>
    </row>
  </sheetData>
  <pageMargins left="0.7" right="0.7" top="0.75" bottom="0.75" header="0.3" footer="0.3"/>
  <pageSetup orientation="portrait" r:id="rId1"/>
  <headerFooter>
    <oddHeader>&amp;L&amp;"Calibri"&amp;11&amp;KFFCD1A 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2025-08-18 09:02:14</KDate>
  <Classification>INTERNAL</Classification>
  <Subclassification/>
  <HostName>KAL50094875</HostName>
  <Domain_User>LNTFINSVCS/50094875</Domain_User>
  <IPAdd>192.168.1.4</IPAdd>
  <FilePath>Book1</FilePath>
  <KID>1CCE51BF10B8638911045347940665</KID>
  <UniqueName/>
  <Suggested/>
  <Justification/>
</Klassify>
</file>

<file path=customXml/itemProps1.xml><?xml version="1.0" encoding="utf-8"?>
<ds:datastoreItem xmlns:ds="http://schemas.openxmlformats.org/officeDocument/2006/customXml" ds:itemID="{64162BDD-9E5D-4AC4-B420-2206B83857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Thadaka</dc:creator>
  <cp:keywords>INTERNAL</cp:keywords>
  <cp:lastModifiedBy>Venugopal Thadaka</cp:lastModifiedBy>
  <dcterms:created xsi:type="dcterms:W3CDTF">2025-08-18T02:20:49Z</dcterms:created>
  <dcterms:modified xsi:type="dcterms:W3CDTF">2025-08-18T03:32:34Z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Reclassification">
    <vt:lpwstr>No</vt:lpwstr>
  </property>
  <property fmtid="{D5CDD505-2E9C-101B-9397-08002B2CF9AE}" pid="5" name="Hostname">
    <vt:lpwstr>KAL50094875</vt:lpwstr>
  </property>
  <property fmtid="{D5CDD505-2E9C-101B-9397-08002B2CF9AE}" pid="6" name="Department">
    <vt:lpwstr>DevOps</vt:lpwstr>
  </property>
  <property fmtid="{D5CDD505-2E9C-101B-9397-08002B2CF9AE}" pid="7" name="Author">
    <vt:lpwstr>50094875</vt:lpwstr>
  </property>
  <property fmtid="{D5CDD505-2E9C-101B-9397-08002B2CF9AE}" pid="8" name="KID">
    <vt:lpwstr>1CCE51BF10B8638911045347940665</vt:lpwstr>
  </property>
</Properties>
</file>